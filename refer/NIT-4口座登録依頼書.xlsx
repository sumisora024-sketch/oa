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05" windowHeight="14190" tabRatio="789"/>
  </bookViews>
  <sheets>
    <sheet name="（提出必須）口座登録依頼書-新規" sheetId="15" r:id="rId1"/>
    <sheet name="法人略語-一覧" sheetId="11" r:id="rId2"/>
  </sheets>
  <externalReferences>
    <externalReference r:id="rId3"/>
  </externalReferences>
  <definedNames>
    <definedName name="FAX" localSheetId="0">'（提出必須）口座登録依頼書-新規'!$AH$27</definedName>
    <definedName name="FAX">#REF!</definedName>
    <definedName name="_ＦＡＸ１" localSheetId="0">#REF!</definedName>
    <definedName name="__ＦＡＸ１">#REF!</definedName>
    <definedName name="_ＦＡＸ２" localSheetId="0">#REF!</definedName>
    <definedName name="__ＦＡＸ２">#REF!</definedName>
    <definedName name="_ＦＡＸ３" localSheetId="0">#REF!</definedName>
    <definedName name="__ＦＡＸ３">#REF!</definedName>
    <definedName name="_xlnm.Print_Area" localSheetId="0">'（提出必須）口座登録依頼書-新規'!$A$5:$AW$54</definedName>
    <definedName name="TEL" localSheetId="0">'（提出必須）口座登録依頼書-新規'!$I$27</definedName>
    <definedName name="TEL">#REF!</definedName>
    <definedName name="_ＴＥＬ１" localSheetId="0">#REF!</definedName>
    <definedName name="__ＴＥＬ１">#REF!</definedName>
    <definedName name="_ＴＥＬ２" localSheetId="0">#REF!</definedName>
    <definedName name="__ＴＥＬ２">#REF!</definedName>
    <definedName name="_ＴＥＬ３" localSheetId="0">#REF!</definedName>
    <definedName name="__ＴＥＬ３">#REF!</definedName>
    <definedName name="URL">#REF!</definedName>
    <definedName name="あ">'（提出必須）口座登録依頼書-新規'!$AH$11</definedName>
    <definedName name="会社名" localSheetId="0">'（提出必須）口座登録依頼書-新規'!$AH$11</definedName>
    <definedName name="会社名">#REF!</definedName>
    <definedName name="会社名１">'（提出必須）口座登録依頼書-新規'!$AH$11</definedName>
    <definedName name="会社名カナ" localSheetId="0">'（提出必須）口座登録依頼書-新規'!$I$17</definedName>
    <definedName name="会社名カナ">#REF!</definedName>
    <definedName name="株主構成">#REF!</definedName>
    <definedName name="企業ウェブ" localSheetId="0">'（提出必須）口座登録依頼書-新規'!#REF!</definedName>
    <definedName name="業務概要">#REF!</definedName>
    <definedName name="金融機関名" localSheetId="0">'（提出必須）口座登録依頼書-新規'!$B$41</definedName>
    <definedName name="金融機関名">#REF!</definedName>
    <definedName name="金融機関名2" localSheetId="0">#REF!</definedName>
    <definedName name="金融機関名2">#REF!</definedName>
    <definedName name="契約先社名" localSheetId="0">'（提出必須）口座登録依頼書-新規'!$C$8</definedName>
    <definedName name="契約先社名">[1]登録依頼書!$B$8</definedName>
    <definedName name="月" localSheetId="0">'（提出必須）口座登録依頼書-新規'!$AR$8</definedName>
    <definedName name="月">[1]登録依頼書!$AQ$8</definedName>
    <definedName name="口座番号" localSheetId="0">'（提出必須）口座登録依頼書-新規'!$AG$22</definedName>
    <definedName name="口座番号">#REF!</definedName>
    <definedName name="口座番号2">#REF!</definedName>
    <definedName name="口座番号最後" localSheetId="0">'（提出必須）口座登録依頼書-新規'!$AS$42</definedName>
    <definedName name="口座番号最後">#REF!</definedName>
    <definedName name="口座番号終わり" localSheetId="0">#REF!</definedName>
    <definedName name="口座番号終わり">#REF!</definedName>
    <definedName name="口座番号末尾" localSheetId="0">#REF!</definedName>
    <definedName name="口座番号末尾">#REF!</definedName>
    <definedName name="口座名義" localSheetId="0">'（提出必須）口座登録依頼書-新規'!#REF!</definedName>
    <definedName name="口座名義">#REF!</definedName>
    <definedName name="口座名義2" localSheetId="0">#REF!</definedName>
    <definedName name="口座名義2">#REF!</definedName>
    <definedName name="口座名義カナ" localSheetId="0">'（提出必須）口座登録依頼書-新規'!$M$48</definedName>
    <definedName name="口座名義カナ">#REF!</definedName>
    <definedName name="口座名義カナ2" localSheetId="0">#REF!</definedName>
    <definedName name="口座名義カナ2">#REF!</definedName>
    <definedName name="再発行" localSheetId="0">#REF!</definedName>
    <definedName name="再発行">#REF!</definedName>
    <definedName name="仕入先コード" localSheetId="0">#REF!</definedName>
    <definedName name="仕入先コード">#REF!</definedName>
    <definedName name="支店名" localSheetId="0">'（提出必須）口座登録依頼書-新規'!$M$41</definedName>
    <definedName name="支店名">#REF!</definedName>
    <definedName name="支店名2" localSheetId="0">#REF!</definedName>
    <definedName name="支店名2">#REF!</definedName>
    <definedName name="資本金" localSheetId="0">'（提出必須）口座登録依頼書-新規'!$I$22</definedName>
    <definedName name="資本金">#REF!</definedName>
    <definedName name="事業内容">#REF!</definedName>
    <definedName name="社名１" localSheetId="0">#REF!</definedName>
    <definedName name="社名１">#REF!</definedName>
    <definedName name="社名２" localSheetId="0">#REF!</definedName>
    <definedName name="社名２">#REF!</definedName>
    <definedName name="社名カナ" localSheetId="0">#REF!</definedName>
    <definedName name="社名カナ">#REF!</definedName>
    <definedName name="住所" localSheetId="0">'（提出必須）口座登録依頼書-新規'!$N$19</definedName>
    <definedName name="住所">#REF!</definedName>
    <definedName name="住所１" localSheetId="0">#REF!</definedName>
    <definedName name="住所１">#REF!</definedName>
    <definedName name="住所2" localSheetId="0">'（提出必須）口座登録依頼書-新規'!$N$25</definedName>
    <definedName name="住所２">[1]登録依頼書!$AD$10</definedName>
    <definedName name="住所３" localSheetId="0">#REF!</definedName>
    <definedName name="住所３">#REF!</definedName>
    <definedName name="住所４" localSheetId="0">#REF!</definedName>
    <definedName name="住所４">#REF!</definedName>
    <definedName name="住所５" localSheetId="0">#REF!</definedName>
    <definedName name="住所５">#REF!</definedName>
    <definedName name="住所６" localSheetId="0">#REF!</definedName>
    <definedName name="住所６">#REF!</definedName>
    <definedName name="所在地" localSheetId="0">'（提出必須）口座登録依頼書-新規'!$AH$9</definedName>
    <definedName name="所在地">#REF!</definedName>
    <definedName name="申請区分" localSheetId="0">#REF!</definedName>
    <definedName name="申請区分">#REF!</definedName>
    <definedName name="申請区分数値">[1]登録依頼書!$C$1</definedName>
    <definedName name="正式名称" localSheetId="0">'（提出必須）口座登録依頼書-新規'!$I$18</definedName>
    <definedName name="正式名称">#REF!</definedName>
    <definedName name="送付先アドレス" localSheetId="0">#REF!</definedName>
    <definedName name="送付先アドレス">#REF!</definedName>
    <definedName name="送付先アドレス2" localSheetId="0">#REF!</definedName>
    <definedName name="送付先アドレス2">#REF!</definedName>
    <definedName name="代表者" localSheetId="0">'（提出必須）口座登録依頼書-新規'!$AH$13</definedName>
    <definedName name="代表者">#REF!</definedName>
    <definedName name="代表者名" localSheetId="0">#REF!</definedName>
    <definedName name="代表者名">#REF!</definedName>
    <definedName name="担当者" localSheetId="0">#REF!</definedName>
    <definedName name="担当者">#REF!</definedName>
    <definedName name="担当者名" localSheetId="0">'（提出必須）口座登録依頼書-新規'!$AH$26</definedName>
    <definedName name="担当者名">#REF!</definedName>
    <definedName name="注文番号" localSheetId="0">#REF!</definedName>
    <definedName name="注文番号">#REF!</definedName>
    <definedName name="日" localSheetId="0">'（提出必須）口座登録依頼書-新規'!$AU$8</definedName>
    <definedName name="日">[1]登録依頼書!$AT$8</definedName>
    <definedName name="年" localSheetId="0">'（提出必須）口座登録依頼書-新規'!$AM$8</definedName>
    <definedName name="年">[1]登録依頼書!$AN$8</definedName>
    <definedName name="部署名" localSheetId="0">'（提出必須）口座登録依頼書-新規'!$I$26</definedName>
    <definedName name="部署名">#REF!</definedName>
    <definedName name="部署名1" localSheetId="0">#REF!</definedName>
    <definedName name="部署名1">#REF!</definedName>
    <definedName name="法人番号" localSheetId="0">'（提出必須）口座登録依頼書-新規'!$I$20</definedName>
    <definedName name="法人番号">'（提出必須）口座登録依頼書-新規'!$I$20</definedName>
    <definedName name="本社住所１" localSheetId="0">#REF!</definedName>
    <definedName name="本社住所１">#REF!</definedName>
    <definedName name="本社住所２" localSheetId="0">#REF!</definedName>
    <definedName name="本社住所２">#REF!</definedName>
    <definedName name="郵便番号" localSheetId="0">'（提出必須）口座登録依頼書-新規'!$J$19</definedName>
    <definedName name="郵便番号">#REF!</definedName>
    <definedName name="郵便番号1" localSheetId="0">'（提出必須）口座登録依頼書-新規'!$J$25</definedName>
    <definedName name="郵便番号1">#REF!</definedName>
    <definedName name="要求番号" localSheetId="0">#REF!</definedName>
    <definedName name="要求番号">#REF!</definedName>
    <definedName name="要否" localSheetId="0">#REF!</definedName>
    <definedName name="要否">#REF!</definedName>
    <definedName name="要否数値">[1]登録依頼書!$D$1</definedName>
    <definedName name="連絡先アドレス" localSheetId="0">#REF!</definedName>
    <definedName name="連絡先アドレ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<sst xmlns="http://schemas.openxmlformats.org/spreadsheetml/2006/main" count="198" uniqueCount="172">
  <si>
    <t>提出可</t>
  </si>
  <si>
    <t>提出不可</t>
  </si>
  <si>
    <t/>
  </si>
  <si>
    <t>提出判定</t>
  </si>
  <si>
    <t>口座登録依頼書【新規用】</t>
  </si>
  <si>
    <t>日本インフォテック株式会社</t>
  </si>
  <si>
    <t>記入日</t>
  </si>
  <si>
    <t>年</t>
  </si>
  <si>
    <t>月</t>
  </si>
  <si>
    <t>日</t>
  </si>
  <si>
    <t>殿</t>
  </si>
  <si>
    <t>所在地</t>
  </si>
  <si>
    <t>※取引予定（または取引している）SSC（購買業務）加入グループ会社名をご記入ください</t>
  </si>
  <si>
    <t>「取引に関する前提条件」に承諾の上、口座登録を依頼いたします。
当方への振込は下記の口座へお振込ください。</t>
  </si>
  <si>
    <r>
      <rPr>
        <sz val="9"/>
        <rFont val="ＭＳ Ｐゴシック"/>
        <charset val="128"/>
      </rPr>
      <t xml:space="preserve">会社名
</t>
    </r>
    <r>
      <rPr>
        <sz val="8"/>
        <rFont val="ＭＳ Ｐゴシック"/>
        <charset val="128"/>
      </rPr>
      <t>（口座登録依頼人）</t>
    </r>
  </si>
  <si>
    <t>代表者名</t>
  </si>
  <si>
    <t>印</t>
  </si>
  <si>
    <t>＜会社名･本店所在地＞</t>
  </si>
  <si>
    <t>フリガナ</t>
  </si>
  <si>
    <t>会社名
（登記上登録名称）</t>
  </si>
  <si>
    <t>本店所在地
（登記上登録住所）</t>
  </si>
  <si>
    <t>〒</t>
  </si>
  <si>
    <t>法人番号
（13桁半角数字）</t>
  </si>
  <si>
    <t>適格請求書発行事業者登録番号</t>
  </si>
  <si>
    <t>　　←適格請求書発行事業者登録番号をご記入ください。未登録の場合は空欄としてください。</t>
  </si>
  <si>
    <t>資本金</t>
  </si>
  <si>
    <t>円</t>
  </si>
  <si>
    <t>＜営業窓口情報＞</t>
  </si>
  <si>
    <t>部署名</t>
  </si>
  <si>
    <t>担当者名</t>
  </si>
  <si>
    <t>ＴＥＬ</t>
  </si>
  <si>
    <t>ＦＡＸ</t>
  </si>
  <si>
    <t>メールアドレス</t>
  </si>
  <si>
    <t>@</t>
  </si>
  <si>
    <t>＜購買窓口情報＞</t>
  </si>
  <si>
    <t>■上記「営業窓口」と「購買窓口」が同一/異なるいすれかを選択した上で、異なる場合は「購買窓口」の連絡先情報を記載してください。</t>
  </si>
  <si>
    <t>「営業窓口」と「購買窓口」が同一/異なる</t>
  </si>
  <si>
    <t>同一（以下記載不要）</t>
  </si>
  <si>
    <t>※「営業窓口」「購買窓口」が同一の場合は、記載不要です。</t>
  </si>
  <si>
    <t>＜振込先口座＞</t>
  </si>
  <si>
    <t>※海外送金口座はご登録できません</t>
  </si>
  <si>
    <t>金融機関名</t>
  </si>
  <si>
    <t>支店名</t>
  </si>
  <si>
    <t>預金種目</t>
  </si>
  <si>
    <t>口座番号</t>
  </si>
  <si>
    <t>金融機関ｺｰﾄﾞ</t>
  </si>
  <si>
    <t>支店ｺｰﾄﾞ</t>
  </si>
  <si>
    <t>チェックしてください</t>
  </si>
  <si>
    <t>左詰め７桁でご記入ください(7桁未満の場合は先頭に0をご記入ください)</t>
  </si>
  <si>
    <t>口座名義（ｶﾅ）</t>
  </si>
  <si>
    <t>口座名義</t>
  </si>
  <si>
    <t>旧振込先口座</t>
  </si>
  <si>
    <t>銀行</t>
  </si>
  <si>
    <t>支店</t>
  </si>
  <si>
    <t>普通・当座・その他</t>
  </si>
  <si>
    <t>（</t>
  </si>
  <si>
    <t>）</t>
  </si>
  <si>
    <t>口座名義（カナ）</t>
  </si>
  <si>
    <t>当該口座への入金が海外送金に当たる口座である。（日本国内に住所を有さない法人等非居住者に当たる法人である。）</t>
  </si>
  <si>
    <t>□</t>
  </si>
  <si>
    <t>はい</t>
  </si>
  <si>
    <t>いいえ</t>
  </si>
  <si>
    <t>＜支払方法＞</t>
  </si>
  <si>
    <t>支払は、給付完了日の翌月末日までに、上記口座にお振込いたします。なお、金融機関の休業日に当たる場合は、翌日の営業日にお振込いたします。</t>
  </si>
  <si>
    <t>振込手数料は御社側で負担いたします。</t>
  </si>
  <si>
    <t>法人略語一覧</t>
  </si>
  <si>
    <t>用語</t>
  </si>
  <si>
    <t>略語</t>
  </si>
  <si>
    <t>先頭</t>
  </si>
  <si>
    <t>中間</t>
  </si>
  <si>
    <t>末尾</t>
  </si>
  <si>
    <t>株式会社</t>
  </si>
  <si>
    <t>ｶ)</t>
  </si>
  <si>
    <t>(ｶ)</t>
  </si>
  <si>
    <t>(ｶ</t>
  </si>
  <si>
    <t>有限会社</t>
  </si>
  <si>
    <t>ﾕ)</t>
  </si>
  <si>
    <t>(ﾕ)</t>
  </si>
  <si>
    <t>(ﾕ</t>
  </si>
  <si>
    <t>合名会社</t>
  </si>
  <si>
    <t>ﾒ)</t>
  </si>
  <si>
    <t>(ﾒ)</t>
  </si>
  <si>
    <t>(ﾒ</t>
  </si>
  <si>
    <t>合資会社</t>
  </si>
  <si>
    <t>ｼ)</t>
  </si>
  <si>
    <t>(ｼ)</t>
  </si>
  <si>
    <t>(ｼ</t>
  </si>
  <si>
    <t>合同会社</t>
  </si>
  <si>
    <t>ﾄﾞ)</t>
  </si>
  <si>
    <t>(ﾄﾞ)</t>
  </si>
  <si>
    <t>(ﾄﾞ</t>
  </si>
  <si>
    <t>医療法人</t>
  </si>
  <si>
    <t>ｲ)</t>
  </si>
  <si>
    <t>(ｲ)</t>
  </si>
  <si>
    <t>(ｲ</t>
  </si>
  <si>
    <t>医療法人社団</t>
  </si>
  <si>
    <t>医療法人財団</t>
  </si>
  <si>
    <t>社会医療法人</t>
  </si>
  <si>
    <t>財団法人（公益、一般財団法人）</t>
  </si>
  <si>
    <t>ｻﾞｲ)</t>
  </si>
  <si>
    <t>(ｻﾞｲ)</t>
  </si>
  <si>
    <t>(ｻﾞｲ</t>
  </si>
  <si>
    <t>社団法人（公益、一般社団法人）</t>
  </si>
  <si>
    <t>ｼﾔ)</t>
  </si>
  <si>
    <t>(ｼﾔ)</t>
  </si>
  <si>
    <t>(ｼﾔ</t>
  </si>
  <si>
    <t>宗教法人</t>
  </si>
  <si>
    <t>ｼﾕｳ)</t>
  </si>
  <si>
    <t>(ｼﾕｳ)</t>
  </si>
  <si>
    <t>(ｼﾕｳ</t>
  </si>
  <si>
    <t>学校法人</t>
  </si>
  <si>
    <t>ｶﾞｸ)</t>
  </si>
  <si>
    <t>(ｶﾞｸ)</t>
  </si>
  <si>
    <t>(ｶﾞｸ</t>
  </si>
  <si>
    <t>社会福祉法人</t>
  </si>
  <si>
    <t>ﾌｸ)</t>
  </si>
  <si>
    <t>(ﾌｸ)</t>
  </si>
  <si>
    <t>(ﾌｸ</t>
  </si>
  <si>
    <t>更生保護法人</t>
  </si>
  <si>
    <t>ﾎｺﾞ)</t>
  </si>
  <si>
    <t>(ﾎｺﾞ)</t>
  </si>
  <si>
    <t>(ﾎｺﾞ</t>
  </si>
  <si>
    <t>相互会社</t>
  </si>
  <si>
    <t>ｿ)</t>
  </si>
  <si>
    <t>(ｿ)</t>
  </si>
  <si>
    <t>(ｿ</t>
  </si>
  <si>
    <t>特定非営利活動法人</t>
  </si>
  <si>
    <t>ﾄｸﾋ)</t>
  </si>
  <si>
    <t>(ﾄｸﾋ)</t>
  </si>
  <si>
    <t>(ﾄｸﾋ</t>
  </si>
  <si>
    <t>独立行政法人</t>
  </si>
  <si>
    <t>ﾄﾞｸ)</t>
  </si>
  <si>
    <t>(ﾄﾞｸ)</t>
  </si>
  <si>
    <t>(ﾄﾞｸ</t>
  </si>
  <si>
    <t>弁護士法人</t>
  </si>
  <si>
    <t>ﾍﾞﾝ)</t>
  </si>
  <si>
    <t>(ﾍﾞﾝ)</t>
  </si>
  <si>
    <t>(ﾍﾞﾝ</t>
  </si>
  <si>
    <t>有限責任中間法人</t>
  </si>
  <si>
    <t>ﾁﾕｳ)</t>
  </si>
  <si>
    <t>(ﾁﾕｳ)</t>
  </si>
  <si>
    <t>(ﾁﾕｳ</t>
  </si>
  <si>
    <t>無限責任中間法人</t>
  </si>
  <si>
    <t>行政書士法人</t>
  </si>
  <si>
    <t>ｷﾞﾖ)</t>
  </si>
  <si>
    <t>(ｷﾞﾖ)</t>
  </si>
  <si>
    <t>(ｷﾞﾖ</t>
  </si>
  <si>
    <t>司法書士法人</t>
  </si>
  <si>
    <t>ｼﾎｳ)</t>
  </si>
  <si>
    <t>(ｼﾎｳ)</t>
  </si>
  <si>
    <t>(ｼﾎｳ</t>
  </si>
  <si>
    <t>税理士法人</t>
  </si>
  <si>
    <t>ｾﾞｲ)</t>
  </si>
  <si>
    <t>(ｾﾞｲ)</t>
  </si>
  <si>
    <t>(ｾﾞｲ</t>
  </si>
  <si>
    <t>国立大学法人</t>
  </si>
  <si>
    <t>ﾀﾞｲ)</t>
  </si>
  <si>
    <t>(ﾀﾞｲ)</t>
  </si>
  <si>
    <t>(ﾀﾞｲ</t>
  </si>
  <si>
    <t>公立大学法人</t>
  </si>
  <si>
    <t>農事組合法人</t>
  </si>
  <si>
    <t>ﾉｳ)</t>
  </si>
  <si>
    <t>(ﾉｳ)</t>
  </si>
  <si>
    <t>(ﾉｳ</t>
  </si>
  <si>
    <t>管理組合法人</t>
  </si>
  <si>
    <t>ｶﾝﾘ)</t>
  </si>
  <si>
    <t>(ｶﾝﾘ)</t>
  </si>
  <si>
    <t>(ｶﾝﾘ</t>
  </si>
  <si>
    <t>社会保険労務法人</t>
  </si>
  <si>
    <t>ﾛｳﾑ)</t>
  </si>
  <si>
    <t>(ﾛｳﾑ)</t>
  </si>
  <si>
    <t>(ﾛｳﾑ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</si>
</sst>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_ "/>
  </numFmts>
  <fonts count="44">
    <font>
      <sz val="11"/>
      <name val="ＭＳ Ｐゴシック"/>
      <charset val="128"/>
    </font>
    <font>
      <sz val="10"/>
      <color theme="1"/>
      <name val="宋体"/>
      <charset val="128"/>
      <scheme val="minor"/>
    </font>
    <font>
      <b/>
      <sz val="10"/>
      <color theme="1"/>
      <name val="宋体"/>
      <charset val="128"/>
      <scheme val="minor"/>
    </font>
    <font>
      <sz val="9"/>
      <name val="ＭＳ Ｐゴシック"/>
      <charset val="128"/>
    </font>
    <font>
      <sz val="10"/>
      <name val="ＭＳ Ｐゴシック"/>
      <charset val="128"/>
    </font>
    <font>
      <b/>
      <sz val="14"/>
      <color indexed="10"/>
      <name val="ＭＳ Ｐゴシック"/>
      <charset val="128"/>
    </font>
    <font>
      <sz val="18"/>
      <color indexed="10"/>
      <name val="ＭＳ Ｐゴシック"/>
      <charset val="128"/>
    </font>
    <font>
      <sz val="11"/>
      <color indexed="10"/>
      <name val="ＭＳ Ｐゴシック"/>
      <charset val="128"/>
    </font>
    <font>
      <b/>
      <sz val="18"/>
      <name val="ＭＳ Ｐゴシック"/>
      <charset val="128"/>
    </font>
    <font>
      <b/>
      <sz val="16"/>
      <name val="ＭＳ Ｐゴシック"/>
      <charset val="128"/>
    </font>
    <font>
      <sz val="12"/>
      <name val="ＭＳ Ｐゴシック"/>
      <charset val="128"/>
    </font>
    <font>
      <sz val="8"/>
      <name val="ＭＳ Ｐゴシック"/>
      <charset val="128"/>
    </font>
    <font>
      <b/>
      <sz val="9"/>
      <name val="ＭＳ Ｐゴシック"/>
      <charset val="128"/>
    </font>
    <font>
      <b/>
      <sz val="11"/>
      <name val="ＭＳ Ｐゴシック"/>
      <charset val="128"/>
    </font>
    <font>
      <sz val="16"/>
      <name val="ＭＳ Ｐゴシック"/>
      <charset val="128"/>
    </font>
    <font>
      <sz val="14"/>
      <color indexed="8"/>
      <name val="ＭＳ Ｐゴシック"/>
      <charset val="128"/>
    </font>
    <font>
      <sz val="12"/>
      <name val="宋体"/>
      <charset val="128"/>
      <scheme val="minor"/>
    </font>
    <font>
      <b/>
      <sz val="14"/>
      <name val="ＭＳ Ｐゴシック"/>
      <charset val="128"/>
    </font>
    <font>
      <sz val="18"/>
      <color indexed="8"/>
      <name val="ＭＳ Ｐゴシック"/>
      <charset val="128"/>
    </font>
    <font>
      <sz val="16"/>
      <color indexed="8"/>
      <name val="ＭＳ Ｐゴシック"/>
      <charset val="128"/>
    </font>
    <font>
      <b/>
      <u/>
      <sz val="11"/>
      <name val="ＭＳ Ｐゴシック"/>
      <charset val="128"/>
    </font>
    <font>
      <sz val="10"/>
      <color indexed="10"/>
      <name val="ＭＳ Ｐゴシック"/>
      <charset val="128"/>
    </font>
    <font>
      <sz val="10"/>
      <color rgb="FFFF0000"/>
      <name val="ＭＳ Ｐゴシック"/>
      <charset val="128"/>
    </font>
    <font>
      <sz val="11"/>
      <color theme="1"/>
      <name val="宋体"/>
      <charset val="134"/>
      <scheme val="minor"/>
    </font>
    <font>
      <u/>
      <sz val="11"/>
      <color theme="10"/>
      <name val="ＭＳ Ｐゴシック"/>
      <charset val="128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ＭＳ Ｐ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 style="hair">
        <color theme="0" tint="-0.499984740745262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hair">
        <color theme="0" tint="-0.499984740745262"/>
      </right>
      <top style="thin">
        <color auto="1"/>
      </top>
      <bottom style="medium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 diagonalUp="1">
      <left style="hair">
        <color theme="0" tint="-0.499984740745262"/>
      </left>
      <right style="hair">
        <color theme="0" tint="-0.499984740745262"/>
      </right>
      <top style="thin">
        <color auto="1"/>
      </top>
      <bottom style="medium">
        <color auto="1"/>
      </bottom>
      <diagonal style="hair">
        <color theme="0" tint="-0.499984740745262"/>
      </diagonal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auto="1"/>
      </bottom>
      <diagonal/>
    </border>
    <border diagonalUp="1">
      <left style="hair">
        <color theme="0" tint="-0.499984740745262"/>
      </left>
      <right style="medium">
        <color auto="1"/>
      </right>
      <top style="thin">
        <color auto="1"/>
      </top>
      <bottom style="medium">
        <color auto="1"/>
      </bottom>
      <diagonal style="hair">
        <color theme="0" tint="-0.49998474074526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3" fillId="5" borderId="6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0" applyNumberFormat="0" applyFill="0" applyAlignment="0" applyProtection="0">
      <alignment vertical="center"/>
    </xf>
    <xf numFmtId="0" fontId="30" fillId="0" borderId="70" applyNumberFormat="0" applyFill="0" applyAlignment="0" applyProtection="0">
      <alignment vertical="center"/>
    </xf>
    <xf numFmtId="0" fontId="31" fillId="0" borderId="7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72" applyNumberFormat="0" applyAlignment="0" applyProtection="0">
      <alignment vertical="center"/>
    </xf>
    <xf numFmtId="0" fontId="33" fillId="7" borderId="73" applyNumberFormat="0" applyAlignment="0" applyProtection="0">
      <alignment vertical="center"/>
    </xf>
    <xf numFmtId="0" fontId="34" fillId="7" borderId="72" applyNumberFormat="0" applyAlignment="0" applyProtection="0">
      <alignment vertical="center"/>
    </xf>
    <xf numFmtId="0" fontId="35" fillId="8" borderId="74" applyNumberFormat="0" applyAlignment="0" applyProtection="0">
      <alignment vertical="center"/>
    </xf>
    <xf numFmtId="0" fontId="36" fillId="0" borderId="75" applyNumberFormat="0" applyFill="0" applyAlignment="0" applyProtection="0">
      <alignment vertical="center"/>
    </xf>
    <xf numFmtId="0" fontId="37" fillId="0" borderId="76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0" fontId="43" fillId="0" borderId="0">
      <alignment vertical="center"/>
    </xf>
  </cellStyleXfs>
  <cellXfs count="20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20" fontId="1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left" vertical="center" wrapText="1" shrinkToFit="1"/>
      <protection locked="0"/>
    </xf>
    <xf numFmtId="0" fontId="10" fillId="0" borderId="8" xfId="0" applyFont="1" applyBorder="1" applyAlignment="1" applyProtection="1">
      <alignment horizontal="left" vertical="center" wrapText="1" shrinkToFit="1"/>
      <protection locked="0"/>
    </xf>
    <xf numFmtId="0" fontId="11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 wrapText="1"/>
    </xf>
    <xf numFmtId="0" fontId="13" fillId="0" borderId="8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8" xfId="6" applyFont="1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15" xfId="0" applyFont="1" applyBorder="1" applyAlignment="1" applyProtection="1">
      <alignment horizontal="center" vertical="center" wrapText="1" shrinkToFit="1"/>
      <protection locked="0"/>
    </xf>
    <xf numFmtId="0" fontId="10" fillId="0" borderId="16" xfId="0" applyFont="1" applyBorder="1" applyAlignment="1" applyProtection="1">
      <alignment horizontal="center" vertical="center" wrapText="1" shrinkToFit="1"/>
      <protection locked="0"/>
    </xf>
    <xf numFmtId="0" fontId="10" fillId="0" borderId="29" xfId="0" applyFont="1" applyBorder="1" applyAlignment="1" applyProtection="1">
      <alignment horizontal="center" vertical="center" wrapText="1" shrinkToFit="1"/>
      <protection locked="0"/>
    </xf>
    <xf numFmtId="0" fontId="10" fillId="0" borderId="0" xfId="0" applyFont="1" applyAlignment="1" applyProtection="1">
      <alignment horizontal="center" vertical="center" wrapText="1" shrinkToFit="1"/>
      <protection locked="0"/>
    </xf>
    <xf numFmtId="0" fontId="10" fillId="0" borderId="30" xfId="0" applyFont="1" applyBorder="1" applyAlignment="1" applyProtection="1">
      <alignment horizontal="center" vertical="center" wrapText="1" shrinkToFit="1"/>
      <protection locked="0"/>
    </xf>
    <xf numFmtId="0" fontId="10" fillId="0" borderId="31" xfId="0" applyFont="1" applyBorder="1" applyAlignment="1" applyProtection="1">
      <alignment horizontal="center" vertical="center" wrapText="1" shrinkToFit="1"/>
      <protection locked="0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49" fontId="10" fillId="0" borderId="32" xfId="0" applyNumberFormat="1" applyFont="1" applyBorder="1" applyAlignment="1" applyProtection="1">
      <alignment horizontal="center" vertical="center"/>
      <protection locked="0"/>
    </xf>
    <xf numFmtId="49" fontId="10" fillId="0" borderId="26" xfId="0" applyNumberFormat="1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10" fillId="0" borderId="37" xfId="0" applyFont="1" applyBorder="1" applyAlignment="1" applyProtection="1">
      <alignment vertical="center" wrapText="1" shrinkToFit="1"/>
      <protection locked="0"/>
    </xf>
    <xf numFmtId="0" fontId="10" fillId="0" borderId="38" xfId="0" applyFont="1" applyBorder="1" applyAlignment="1" applyProtection="1">
      <alignment vertical="center" wrapText="1" shrinkToFit="1"/>
      <protection locked="0"/>
    </xf>
    <xf numFmtId="0" fontId="10" fillId="0" borderId="39" xfId="0" applyFont="1" applyBorder="1" applyAlignment="1" applyProtection="1">
      <alignment vertical="center" wrapText="1" shrinkToFit="1"/>
      <protection locked="0"/>
    </xf>
    <xf numFmtId="0" fontId="10" fillId="0" borderId="31" xfId="0" applyFont="1" applyBorder="1" applyAlignment="1" applyProtection="1">
      <alignment vertical="center" wrapText="1" shrinkToFit="1"/>
      <protection locked="0"/>
    </xf>
    <xf numFmtId="0" fontId="3" fillId="0" borderId="40" xfId="0" applyFont="1" applyBorder="1" applyAlignment="1">
      <alignment horizontal="center" vertical="center"/>
    </xf>
    <xf numFmtId="49" fontId="10" fillId="0" borderId="25" xfId="0" applyNumberFormat="1" applyFont="1" applyBorder="1" applyAlignment="1" applyProtection="1">
      <alignment horizontal="left" vertical="center" shrinkToFit="1"/>
      <protection locked="0"/>
    </xf>
    <xf numFmtId="0" fontId="0" fillId="0" borderId="25" xfId="0" applyBorder="1" applyProtection="1">
      <protection locked="0"/>
    </xf>
    <xf numFmtId="0" fontId="10" fillId="0" borderId="41" xfId="0" applyFont="1" applyBorder="1" applyAlignment="1" applyProtection="1">
      <alignment vertical="center" wrapText="1" shrinkToFit="1"/>
      <protection locked="0"/>
    </xf>
    <xf numFmtId="0" fontId="10" fillId="0" borderId="25" xfId="0" applyFont="1" applyBorder="1" applyAlignment="1" applyProtection="1">
      <alignment vertical="center" wrapText="1" shrinkToFit="1"/>
      <protection locked="0"/>
    </xf>
    <xf numFmtId="49" fontId="14" fillId="0" borderId="32" xfId="0" applyNumberFormat="1" applyFont="1" applyBorder="1" applyAlignment="1" applyProtection="1">
      <alignment horizontal="left" vertical="center" wrapText="1" indent="1" shrinkToFit="1"/>
      <protection locked="0"/>
    </xf>
    <xf numFmtId="49" fontId="14" fillId="0" borderId="25" xfId="0" applyNumberFormat="1" applyFont="1" applyBorder="1" applyAlignment="1" applyProtection="1">
      <alignment horizontal="left" vertical="center" wrapText="1" indent="1" shrinkToFit="1"/>
      <protection locked="0"/>
    </xf>
    <xf numFmtId="179" fontId="10" fillId="0" borderId="42" xfId="0" applyNumberFormat="1" applyFont="1" applyBorder="1" applyAlignment="1" applyProtection="1">
      <alignment horizontal="right" vertical="center" wrapText="1" shrinkToFit="1"/>
      <protection locked="0"/>
    </xf>
    <xf numFmtId="179" fontId="10" fillId="0" borderId="19" xfId="0" applyNumberFormat="1" applyFont="1" applyBorder="1" applyAlignment="1" applyProtection="1">
      <alignment horizontal="right" vertical="center" wrapText="1" shrinkToFit="1"/>
      <protection locked="0"/>
    </xf>
    <xf numFmtId="0" fontId="3" fillId="0" borderId="22" xfId="0" applyFont="1" applyBorder="1" applyAlignment="1">
      <alignment vertical="center"/>
    </xf>
    <xf numFmtId="49" fontId="10" fillId="0" borderId="9" xfId="0" applyNumberFormat="1" applyFont="1" applyBorder="1" applyAlignment="1" applyProtection="1">
      <alignment horizontal="left" vertical="center" shrinkToFit="1"/>
      <protection locked="0"/>
    </xf>
    <xf numFmtId="0" fontId="10" fillId="0" borderId="43" xfId="0" applyFont="1" applyBorder="1" applyAlignment="1" applyProtection="1">
      <alignment vertical="center" wrapText="1" shrinkToFit="1"/>
      <protection locked="0"/>
    </xf>
    <xf numFmtId="0" fontId="10" fillId="0" borderId="22" xfId="0" applyFont="1" applyBorder="1" applyAlignment="1" applyProtection="1">
      <alignment vertical="center" wrapText="1" shrinkToFit="1"/>
      <protection locked="0"/>
    </xf>
    <xf numFmtId="49" fontId="10" fillId="0" borderId="32" xfId="0" applyNumberFormat="1" applyFont="1" applyBorder="1" applyAlignment="1" applyProtection="1">
      <alignment horizontal="left" vertical="center" wrapText="1" shrinkToFit="1"/>
      <protection locked="0"/>
    </xf>
    <xf numFmtId="49" fontId="10" fillId="0" borderId="25" xfId="0" applyNumberFormat="1" applyFont="1" applyBorder="1" applyAlignment="1" applyProtection="1">
      <alignment horizontal="left" vertical="center" wrapText="1" shrinkToFit="1"/>
      <protection locked="0"/>
    </xf>
    <xf numFmtId="49" fontId="15" fillId="0" borderId="42" xfId="6" applyNumberFormat="1" applyFont="1" applyFill="1" applyBorder="1" applyAlignment="1" applyProtection="1">
      <alignment horizontal="center" vertical="center" wrapText="1"/>
      <protection locked="0"/>
    </xf>
    <xf numFmtId="49" fontId="15" fillId="0" borderId="19" xfId="6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/>
    </xf>
    <xf numFmtId="49" fontId="10" fillId="0" borderId="44" xfId="0" applyNumberFormat="1" applyFont="1" applyBorder="1" applyAlignment="1" applyProtection="1">
      <alignment horizontal="left" vertical="center" shrinkToFit="1"/>
      <protection locked="0"/>
    </xf>
    <xf numFmtId="49" fontId="10" fillId="0" borderId="32" xfId="0" applyNumberFormat="1" applyFont="1" applyBorder="1" applyAlignment="1" applyProtection="1">
      <alignment horizontal="left" vertical="center" wrapText="1" indent="1" shrinkToFit="1"/>
      <protection locked="0"/>
    </xf>
    <xf numFmtId="49" fontId="10" fillId="0" borderId="25" xfId="0" applyNumberFormat="1" applyFont="1" applyBorder="1" applyAlignment="1" applyProtection="1">
      <alignment horizontal="left" vertical="center" wrapText="1" indent="1" shrinkToFit="1"/>
      <protection locked="0"/>
    </xf>
    <xf numFmtId="0" fontId="11" fillId="0" borderId="8" xfId="0" applyFont="1" applyBorder="1" applyAlignment="1">
      <alignment horizontal="left"/>
    </xf>
    <xf numFmtId="0" fontId="4" fillId="0" borderId="45" xfId="0" applyFont="1" applyBorder="1" applyAlignment="1">
      <alignment horizontal="center" vertical="center"/>
    </xf>
    <xf numFmtId="0" fontId="10" fillId="0" borderId="40" xfId="0" applyFont="1" applyBorder="1" applyAlignment="1" applyProtection="1">
      <alignment horizontal="center" vertical="center" wrapText="1" shrinkToFit="1"/>
      <protection locked="0"/>
    </xf>
    <xf numFmtId="0" fontId="10" fillId="0" borderId="46" xfId="0" applyFont="1" applyBorder="1" applyAlignment="1" applyProtection="1">
      <alignment horizontal="center" vertical="center" wrapText="1" shrinkToFit="1"/>
      <protection locked="0"/>
    </xf>
    <xf numFmtId="0" fontId="10" fillId="0" borderId="39" xfId="0" applyFont="1" applyBorder="1" applyAlignment="1" applyProtection="1">
      <alignment horizontal="center" vertical="center" wrapText="1" shrinkToFit="1"/>
      <protection locked="0"/>
    </xf>
    <xf numFmtId="0" fontId="11" fillId="0" borderId="32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3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16" fillId="0" borderId="52" xfId="0" applyFont="1" applyBorder="1" applyAlignment="1" applyProtection="1">
      <alignment horizontal="center" vertical="center"/>
      <protection locked="0"/>
    </xf>
    <xf numFmtId="0" fontId="16" fillId="0" borderId="53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17" xfId="0" applyFont="1" applyBorder="1" applyAlignment="1" applyProtection="1">
      <alignment horizontal="center" vertical="center" wrapText="1" shrinkToFit="1"/>
      <protection locked="0"/>
    </xf>
    <xf numFmtId="0" fontId="3" fillId="0" borderId="40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0" fillId="0" borderId="54" xfId="0" applyFont="1" applyBorder="1" applyAlignment="1" applyProtection="1">
      <alignment horizontal="center" vertical="center" wrapText="1" shrinkToFit="1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0" fillId="0" borderId="55" xfId="0" applyFont="1" applyBorder="1" applyAlignment="1" applyProtection="1">
      <alignment horizontal="center" vertical="center" wrapText="1" shrinkToFit="1"/>
      <protection locked="0"/>
    </xf>
    <xf numFmtId="0" fontId="3" fillId="0" borderId="39" xfId="0" applyFont="1" applyBorder="1" applyAlignment="1" applyProtection="1">
      <alignment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0" fontId="3" fillId="0" borderId="25" xfId="0" applyFont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31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 wrapText="1"/>
    </xf>
    <xf numFmtId="0" fontId="3" fillId="4" borderId="31" xfId="0" applyFont="1" applyFill="1" applyBorder="1" applyAlignment="1">
      <alignment horizontal="left" vertical="center" wrapText="1"/>
    </xf>
    <xf numFmtId="179" fontId="3" fillId="0" borderId="19" xfId="0" applyNumberFormat="1" applyFont="1" applyBorder="1" applyAlignment="1">
      <alignment horizontal="center" vertical="center"/>
    </xf>
    <xf numFmtId="179" fontId="4" fillId="0" borderId="42" xfId="0" applyNumberFormat="1" applyFont="1" applyBorder="1" applyAlignment="1">
      <alignment vertical="center"/>
    </xf>
    <xf numFmtId="179" fontId="4" fillId="0" borderId="19" xfId="0" applyNumberFormat="1" applyFont="1" applyBorder="1" applyAlignment="1">
      <alignment vertical="center"/>
    </xf>
    <xf numFmtId="49" fontId="10" fillId="0" borderId="26" xfId="0" applyNumberFormat="1" applyFont="1" applyBorder="1" applyAlignment="1" applyProtection="1">
      <alignment horizontal="left" vertical="center" wrapText="1" shrinkToFit="1"/>
      <protection locked="0"/>
    </xf>
    <xf numFmtId="0" fontId="4" fillId="0" borderId="32" xfId="0" applyFont="1" applyBorder="1" applyAlignment="1">
      <alignment horizontal="center" vertical="center"/>
    </xf>
    <xf numFmtId="49" fontId="18" fillId="0" borderId="19" xfId="6" applyNumberFormat="1" applyFont="1" applyFill="1" applyBorder="1" applyAlignment="1" applyProtection="1">
      <alignment horizontal="center" vertical="center"/>
      <protection locked="0"/>
    </xf>
    <xf numFmtId="49" fontId="19" fillId="0" borderId="19" xfId="6" applyNumberFormat="1" applyFont="1" applyFill="1" applyBorder="1" applyAlignment="1" applyProtection="1">
      <alignment horizontal="center" vertical="center"/>
      <protection locked="0"/>
    </xf>
    <xf numFmtId="0" fontId="0" fillId="0" borderId="56" xfId="0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/>
      <protection locked="0"/>
    </xf>
    <xf numFmtId="49" fontId="10" fillId="0" borderId="26" xfId="0" applyNumberFormat="1" applyFont="1" applyBorder="1" applyAlignment="1" applyProtection="1">
      <alignment horizontal="left" vertical="center" wrapText="1" indent="1" shrinkToFit="1"/>
      <protection locked="0"/>
    </xf>
    <xf numFmtId="49" fontId="18" fillId="0" borderId="19" xfId="6" applyNumberFormat="1" applyFont="1" applyFill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vertical="center"/>
      <protection locked="0"/>
    </xf>
    <xf numFmtId="0" fontId="3" fillId="0" borderId="4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46" xfId="0" applyFont="1" applyBorder="1" applyAlignment="1">
      <alignment vertical="center"/>
    </xf>
    <xf numFmtId="0" fontId="3" fillId="0" borderId="55" xfId="0" applyFont="1" applyBorder="1" applyAlignment="1" applyProtection="1">
      <alignment vertical="center"/>
      <protection locked="0"/>
    </xf>
    <xf numFmtId="0" fontId="0" fillId="0" borderId="39" xfId="0" applyBorder="1" applyAlignment="1">
      <alignment vertical="center"/>
    </xf>
    <xf numFmtId="0" fontId="11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4" fillId="0" borderId="31" xfId="0" applyFont="1" applyBorder="1" applyAlignment="1">
      <alignment horizontal="center" vertical="center"/>
    </xf>
    <xf numFmtId="49" fontId="10" fillId="0" borderId="31" xfId="0" applyNumberFormat="1" applyFont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left" vertical="center" wrapText="1" shrinkToFit="1"/>
      <protection locked="0"/>
    </xf>
    <xf numFmtId="0" fontId="10" fillId="0" borderId="16" xfId="0" applyFont="1" applyBorder="1" applyAlignment="1" applyProtection="1">
      <alignment horizontal="left" vertical="center" wrapText="1" shrinkToFit="1"/>
      <protection locked="0"/>
    </xf>
    <xf numFmtId="0" fontId="10" fillId="0" borderId="25" xfId="0" applyFont="1" applyBorder="1" applyAlignment="1" applyProtection="1">
      <alignment horizontal="left" vertical="center" wrapText="1" shrinkToFit="1"/>
      <protection locked="0"/>
    </xf>
    <xf numFmtId="0" fontId="11" fillId="0" borderId="16" xfId="0" applyFont="1" applyBorder="1" applyAlignment="1">
      <alignment horizontal="right" vertical="center" wrapText="1"/>
    </xf>
    <xf numFmtId="0" fontId="11" fillId="0" borderId="16" xfId="0" applyFont="1" applyBorder="1" applyAlignment="1">
      <alignment horizontal="right" vertical="center"/>
    </xf>
    <xf numFmtId="49" fontId="10" fillId="0" borderId="40" xfId="0" applyNumberFormat="1" applyFont="1" applyBorder="1" applyAlignment="1" applyProtection="1">
      <alignment horizontal="center" vertical="center"/>
      <protection locked="0"/>
    </xf>
    <xf numFmtId="49" fontId="10" fillId="0" borderId="17" xfId="0" applyNumberFormat="1" applyFont="1" applyBorder="1" applyAlignment="1" applyProtection="1">
      <alignment horizontal="center" vertical="center"/>
      <protection locked="0"/>
    </xf>
    <xf numFmtId="49" fontId="10" fillId="0" borderId="39" xfId="0" applyNumberFormat="1" applyFont="1" applyBorder="1" applyAlignment="1" applyProtection="1">
      <alignment horizontal="center" vertical="center"/>
      <protection locked="0"/>
    </xf>
    <xf numFmtId="49" fontId="10" fillId="0" borderId="55" xfId="0" applyNumberFormat="1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4" fillId="0" borderId="46" xfId="0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57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 shrinkToFi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4" fillId="0" borderId="0" xfId="0" applyFont="1"/>
    <xf numFmtId="0" fontId="10" fillId="0" borderId="58" xfId="0" applyFont="1" applyBorder="1" applyAlignment="1" applyProtection="1">
      <alignment vertical="center" wrapText="1" shrinkToFit="1"/>
      <protection locked="0"/>
    </xf>
    <xf numFmtId="0" fontId="10" fillId="0" borderId="0" xfId="0" applyFont="1" applyAlignment="1">
      <alignment vertical="center" wrapText="1" shrinkToFit="1"/>
    </xf>
    <xf numFmtId="0" fontId="22" fillId="0" borderId="0" xfId="0" applyFont="1" applyAlignment="1">
      <alignment vertical="center"/>
    </xf>
    <xf numFmtId="0" fontId="10" fillId="0" borderId="59" xfId="0" applyFont="1" applyBorder="1" applyAlignment="1" applyProtection="1">
      <alignment vertical="center" wrapText="1" shrinkToFit="1"/>
      <protection locked="0"/>
    </xf>
    <xf numFmtId="49" fontId="10" fillId="0" borderId="0" xfId="0" applyNumberFormat="1" applyFont="1" applyAlignment="1" applyProtection="1">
      <alignment vertical="center" wrapText="1" shrinkToFit="1"/>
      <protection locked="0"/>
    </xf>
    <xf numFmtId="0" fontId="21" fillId="0" borderId="0" xfId="0" applyFont="1" applyAlignment="1">
      <alignment vertical="center"/>
    </xf>
    <xf numFmtId="0" fontId="10" fillId="0" borderId="60" xfId="0" applyFont="1" applyBorder="1" applyAlignment="1" applyProtection="1">
      <alignment vertical="center" wrapText="1" shrinkToFit="1"/>
      <protection locked="0"/>
    </xf>
    <xf numFmtId="0" fontId="7" fillId="0" borderId="0" xfId="0" applyFont="1" applyAlignment="1">
      <alignment vertical="center"/>
    </xf>
    <xf numFmtId="49" fontId="14" fillId="0" borderId="60" xfId="0" applyNumberFormat="1" applyFont="1" applyBorder="1" applyAlignment="1" applyProtection="1">
      <alignment horizontal="left" vertical="center" wrapText="1" indent="1" shrinkToFit="1"/>
      <protection locked="0"/>
    </xf>
    <xf numFmtId="179" fontId="4" fillId="0" borderId="61" xfId="0" applyNumberFormat="1" applyFont="1" applyBorder="1" applyAlignment="1">
      <alignment vertical="center"/>
    </xf>
    <xf numFmtId="179" fontId="4" fillId="0" borderId="0" xfId="0" applyNumberFormat="1" applyFont="1" applyAlignment="1">
      <alignment vertical="center"/>
    </xf>
    <xf numFmtId="0" fontId="10" fillId="0" borderId="62" xfId="0" applyFont="1" applyBorder="1" applyAlignment="1" applyProtection="1">
      <alignment vertical="center" wrapText="1" shrinkToFit="1"/>
      <protection locked="0"/>
    </xf>
    <xf numFmtId="49" fontId="10" fillId="0" borderId="60" xfId="0" applyNumberFormat="1" applyFont="1" applyBorder="1" applyAlignment="1" applyProtection="1">
      <alignment horizontal="left" vertical="center" wrapText="1" shrinkToFit="1"/>
      <protection locked="0"/>
    </xf>
    <xf numFmtId="49" fontId="19" fillId="0" borderId="61" xfId="6" applyNumberFormat="1" applyFont="1" applyFill="1" applyBorder="1" applyAlignment="1" applyProtection="1">
      <alignment horizontal="center" vertical="center"/>
      <protection locked="0"/>
    </xf>
    <xf numFmtId="49" fontId="19" fillId="0" borderId="0" xfId="6" applyNumberFormat="1" applyFont="1" applyFill="1" applyBorder="1" applyAlignment="1" applyProtection="1">
      <alignment horizontal="center" vertical="center"/>
      <protection locked="0"/>
    </xf>
    <xf numFmtId="0" fontId="0" fillId="0" borderId="63" xfId="0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/>
    </xf>
    <xf numFmtId="0" fontId="4" fillId="0" borderId="62" xfId="0" applyFont="1" applyBorder="1" applyAlignment="1">
      <alignment horizontal="center"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59" xfId="0" applyBorder="1" applyAlignment="1">
      <alignment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64" xfId="0" applyFont="1" applyBorder="1" applyAlignment="1">
      <alignment vertical="center"/>
    </xf>
    <xf numFmtId="0" fontId="4" fillId="0" borderId="68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桁区切り 2" xfId="49"/>
    <cellStyle name="標準 2" xfId="5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rgb="FFCCECFF"/>
        </patternFill>
      </fill>
    </dxf>
  </dxfs>
  <tableStyles count="0" defaultTableStyle="TableStyleMedium2" defaultPivotStyle="PivotStyleLight16"/>
  <colors>
    <mruColors>
      <color rgb="003333FF"/>
      <color rgb="00000000"/>
      <color rgb="00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Radio" firstButton="1" fmlaLink="$AB$1" noThreeD="1" val="0"/>
</file>

<file path=xl/ctrlProps/ctrlProp2.xml><?xml version="1.0" encoding="utf-8"?>
<formControlPr xmlns="http://schemas.microsoft.com/office/spreadsheetml/2009/9/main" objectType="Radio" noThreeD="1" val="0"/>
</file>

<file path=xl/ctrlProps/ctrlProp3.xml><?xml version="1.0" encoding="utf-8"?>
<formControlPr xmlns="http://schemas.microsoft.com/office/spreadsheetml/2009/9/main" objectType="Radio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0</xdr:colOff>
          <xdr:row>40</xdr:row>
          <xdr:rowOff>38100</xdr:rowOff>
        </xdr:from>
        <xdr:to>
          <xdr:col>27</xdr:col>
          <xdr:colOff>123825</xdr:colOff>
          <xdr:row>41</xdr:row>
          <xdr:rowOff>28575</xdr:rowOff>
        </xdr:to>
        <xdr:sp>
          <xdr:nvSpPr>
            <xdr:cNvPr id="20481" name="Option Button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3943350" y="11047095"/>
              <a:ext cx="809625" cy="28384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 panose="020B0600070205080204" charset="-128"/>
                  <a:ea typeface="MS UI Gothic" panose="020B0600070205080204" charset="-128"/>
                </a:rPr>
                <a:t>普通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MS UI Gothic" panose="020B0600070205080204" charset="-128"/>
                <a:ea typeface="MS UI Gothic" panose="020B0600070205080204" charset="-128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0</xdr:colOff>
          <xdr:row>41</xdr:row>
          <xdr:rowOff>57150</xdr:rowOff>
        </xdr:from>
        <xdr:to>
          <xdr:col>27</xdr:col>
          <xdr:colOff>123825</xdr:colOff>
          <xdr:row>41</xdr:row>
          <xdr:rowOff>257175</xdr:rowOff>
        </xdr:to>
        <xdr:sp>
          <xdr:nvSpPr>
            <xdr:cNvPr id="20482" name="Option Button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>
            <a:xfrm>
              <a:off x="3943350" y="11359515"/>
              <a:ext cx="809625" cy="20002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 panose="020B0600070205080204" charset="-128"/>
                  <a:ea typeface="MS UI Gothic" panose="020B0600070205080204" charset="-128"/>
                </a:rPr>
                <a:t>当座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MS UI Gothic" panose="020B0600070205080204" charset="-128"/>
                <a:ea typeface="MS UI Gothic" panose="020B0600070205080204" charset="-128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0</xdr:colOff>
          <xdr:row>42</xdr:row>
          <xdr:rowOff>9525</xdr:rowOff>
        </xdr:from>
        <xdr:to>
          <xdr:col>27</xdr:col>
          <xdr:colOff>123825</xdr:colOff>
          <xdr:row>42</xdr:row>
          <xdr:rowOff>257175</xdr:rowOff>
        </xdr:to>
        <xdr:sp>
          <xdr:nvSpPr>
            <xdr:cNvPr id="20483" name="Option Button 3" hidden="1">
              <a:extLst>
                <a:ext uri="{63B3BB69-23CF-44E3-9099-C40C66FF867C}">
                  <a14:compatExt spid="_x0000_s20483"/>
                </a:ext>
              </a:extLst>
            </xdr:cNvPr>
            <xdr:cNvSpPr/>
          </xdr:nvSpPr>
          <xdr:spPr>
            <a:xfrm>
              <a:off x="3943350" y="11605260"/>
              <a:ext cx="809625" cy="24765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 panose="020B0600070205080204" charset="-128"/>
                  <a:ea typeface="MS UI Gothic" panose="020B0600070205080204" charset="-128"/>
                </a:rPr>
                <a:t>その他</a:t>
              </a:r>
              <a:endParaRPr lang="ja-JP" altLang="en-US" sz="900" b="0" i="0" u="none" strike="noStrike" baseline="0">
                <a:solidFill>
                  <a:srgbClr val="000000"/>
                </a:solidFill>
                <a:latin typeface="MS UI Gothic" panose="020B0600070205080204" charset="-128"/>
                <a:ea typeface="MS UI Gothic" panose="020B0600070205080204" charset="-128"/>
              </a:endParaRPr>
            </a:p>
          </xdr:txBody>
        </xdr:sp>
        <xdr:clientData/>
      </xdr:twoCellAnchor>
    </mc:Choice>
    <mc:Fallback/>
  </mc:AlternateContent>
  <xdr:twoCellAnchor>
    <xdr:from>
      <xdr:col>39</xdr:col>
      <xdr:colOff>9525</xdr:colOff>
      <xdr:row>4</xdr:row>
      <xdr:rowOff>95250</xdr:rowOff>
    </xdr:from>
    <xdr:to>
      <xdr:col>48</xdr:col>
      <xdr:colOff>95250</xdr:colOff>
      <xdr:row>5</xdr:row>
      <xdr:rowOff>152400</xdr:rowOff>
    </xdr:to>
    <xdr:sp>
      <xdr:nvSpPr>
        <xdr:cNvPr id="5" name="テキスト ボックス 4"/>
        <xdr:cNvSpPr txBox="1"/>
      </xdr:nvSpPr>
      <xdr:spPr>
        <a:xfrm>
          <a:off x="6696075" y="714375"/>
          <a:ext cx="16287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900">
              <a:solidFill>
                <a:schemeClr val="bg1">
                  <a:lumMod val="65000"/>
                </a:schemeClr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solidFill>
                <a:schemeClr val="bg1">
                  <a:lumMod val="65000"/>
                </a:schemeClr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ver.	10.00</a:t>
          </a:r>
          <a:r>
            <a:rPr kumimoji="1" lang="ja-JP" altLang="en-US" sz="900">
              <a:solidFill>
                <a:schemeClr val="bg1">
                  <a:lumMod val="65000"/>
                </a:schemeClr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kumimoji="1" lang="ja-JP" altLang="en-US" sz="900">
            <a:solidFill>
              <a:schemeClr val="bg1">
                <a:lumMod val="65000"/>
              </a:schemeClr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0</xdr:rowOff>
    </xdr:from>
    <xdr:to>
      <xdr:col>4</xdr:col>
      <xdr:colOff>9525</xdr:colOff>
      <xdr:row>0</xdr:row>
      <xdr:rowOff>180975</xdr:rowOff>
    </xdr:to>
    <xdr:sp>
      <xdr:nvSpPr>
        <xdr:cNvPr id="2" name="テキスト ボックス 1"/>
        <xdr:cNvSpPr txBox="1"/>
      </xdr:nvSpPr>
      <xdr:spPr>
        <a:xfrm>
          <a:off x="3143250" y="0"/>
          <a:ext cx="16287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900">
              <a:solidFill>
                <a:schemeClr val="bg1">
                  <a:lumMod val="65000"/>
                </a:schemeClr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solidFill>
                <a:schemeClr val="bg1">
                  <a:lumMod val="65000"/>
                </a:schemeClr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ver.10.00</a:t>
          </a:r>
          <a:r>
            <a:rPr kumimoji="1" lang="ja-JP" altLang="en-US" sz="900">
              <a:solidFill>
                <a:schemeClr val="bg1">
                  <a:lumMod val="65000"/>
                </a:schemeClr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kumimoji="1" lang="ja-JP" altLang="en-US" sz="900">
            <a:solidFill>
              <a:schemeClr val="bg1">
                <a:lumMod val="65000"/>
              </a:schemeClr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cobuy.pdp.nttdata.co.jp\06flow\files\20140814&#65288;&#24460;&#65289;_&#25171;&#12385;&#21512;&#12431;&#12379;&#36039;&#26009;\&#12304;&#26032;&#28023;&#20316;&#25104;&#20013;&#12305;&#21475;&#24231;&#30331;&#37682;&#20381;&#38972;&#26360;&#12304;&#26032;&#35215;&#12305;(&#26696;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登録依頼書 (2)"/>
      <sheetName val="登録依頼書"/>
      <sheetName val="記入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B1:CC70"/>
  <sheetViews>
    <sheetView showGridLines="0" tabSelected="1" topLeftCell="A35" workbookViewId="0">
      <selection activeCell="AY28" sqref="AY28"/>
    </sheetView>
  </sheetViews>
  <sheetFormatPr defaultColWidth="2.25" defaultRowHeight="19.5" customHeight="1"/>
  <cols>
    <col min="1" max="1" width="2.25" style="15"/>
    <col min="2" max="50" width="2.25" style="15" customWidth="1"/>
    <col min="51" max="51" width="33.375" style="16" customWidth="1"/>
    <col min="52" max="58" width="2.25" style="15" customWidth="1"/>
    <col min="59" max="80" width="2.25" style="15"/>
    <col min="81" max="81" width="55.75" style="17" customWidth="1"/>
    <col min="82" max="16384" width="2.25" style="15"/>
  </cols>
  <sheetData>
    <row r="1" ht="30" hidden="1" customHeight="1" spans="2:28">
      <c r="B1" s="15" t="s">
        <v>0</v>
      </c>
      <c r="C1" s="15" t="s">
        <v>1</v>
      </c>
      <c r="D1" s="15">
        <v>0</v>
      </c>
      <c r="E1" s="15">
        <v>1</v>
      </c>
      <c r="F1" s="15">
        <v>1</v>
      </c>
      <c r="L1" s="74"/>
      <c r="O1" s="74" t="s">
        <v>2</v>
      </c>
      <c r="AB1" s="15">
        <v>0</v>
      </c>
    </row>
    <row r="2" customHeight="1" spans="2:6">
      <c r="B2" s="18" t="s">
        <v>3</v>
      </c>
      <c r="C2" s="18"/>
      <c r="D2" s="18"/>
      <c r="E2" s="18"/>
      <c r="F2" s="18"/>
    </row>
    <row r="3" customHeight="1" spans="2:40">
      <c r="B3" s="19" t="str">
        <f>IF(COUNTBLANK(AY9:AY48)=ROWS(AY9:AY48),B1,C1)</f>
        <v>提出不可</v>
      </c>
      <c r="C3" s="19"/>
      <c r="D3" s="19"/>
      <c r="E3" s="19"/>
      <c r="F3" s="19"/>
      <c r="AN3" s="155"/>
    </row>
    <row r="4" ht="9.75" customHeight="1" spans="2:40">
      <c r="B4" s="20"/>
      <c r="C4" s="20"/>
      <c r="D4" s="20"/>
      <c r="E4" s="20"/>
      <c r="F4" s="20"/>
      <c r="AN4" s="155"/>
    </row>
    <row r="5" ht="9.75" customHeight="1" spans="2:40">
      <c r="B5" s="21"/>
      <c r="C5" s="21"/>
      <c r="D5" s="21"/>
      <c r="E5" s="21"/>
      <c r="F5" s="21"/>
      <c r="AM5" s="3"/>
      <c r="AN5" s="155"/>
    </row>
    <row r="6" ht="21" customHeight="1" spans="2:50">
      <c r="B6" s="22" t="s">
        <v>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</row>
    <row r="7" ht="9.75" customHeight="1" spans="2:50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customHeight="1" spans="2:51">
      <c r="B8" s="23"/>
      <c r="C8" s="24" t="s">
        <v>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156" t="s">
        <v>6</v>
      </c>
      <c r="AJ8" s="156"/>
      <c r="AK8" s="156"/>
      <c r="AL8" s="156"/>
      <c r="AM8" s="157"/>
      <c r="AN8" s="157"/>
      <c r="AO8" s="157"/>
      <c r="AP8" s="157"/>
      <c r="AQ8" s="167" t="s">
        <v>7</v>
      </c>
      <c r="AR8" s="157"/>
      <c r="AS8" s="157"/>
      <c r="AT8" s="168" t="s">
        <v>8</v>
      </c>
      <c r="AU8" s="157"/>
      <c r="AV8" s="157"/>
      <c r="AW8" s="167" t="s">
        <v>9</v>
      </c>
      <c r="AX8" s="70"/>
      <c r="AY8" s="172" t="str">
        <f>IF(年="","←日付(年）をご記入ください",IF(月="","←日付(月)をご記入ください",IF(日="","←日付(日)をご記入ください","")))</f>
        <v>←日付(年）をご記入ください</v>
      </c>
    </row>
    <row r="9" ht="36" customHeight="1" spans="2:51">
      <c r="B9" s="23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120" t="s">
        <v>10</v>
      </c>
      <c r="W9" s="120"/>
      <c r="X9" s="23"/>
      <c r="Y9" s="23"/>
      <c r="Z9" s="97"/>
      <c r="AA9" s="14"/>
      <c r="AB9" s="132" t="s">
        <v>11</v>
      </c>
      <c r="AC9" s="132"/>
      <c r="AD9" s="132"/>
      <c r="AE9" s="132"/>
      <c r="AF9" s="132"/>
      <c r="AG9" s="132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173"/>
      <c r="AY9" s="174" t="str">
        <f>IF(契約先社名="","←左上は契約先社名をご記入ください","")</f>
        <v/>
      </c>
    </row>
    <row r="10" customHeight="1" spans="2:51">
      <c r="B10" s="23"/>
      <c r="C10" s="26" t="s">
        <v>12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3"/>
      <c r="W10" s="23"/>
      <c r="X10" s="23"/>
      <c r="Y10" s="23"/>
      <c r="Z10" s="23"/>
      <c r="AA10" s="23"/>
      <c r="AB10" s="133"/>
      <c r="AC10" s="133"/>
      <c r="AD10" s="133"/>
      <c r="AE10" s="133"/>
      <c r="AF10" s="133"/>
      <c r="AG10" s="133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73"/>
      <c r="AY10" s="174" t="str">
        <f>IF(所在地="","←所在地をご記入ください","")</f>
        <v>←所在地をご記入ください</v>
      </c>
    </row>
    <row r="11" customHeight="1" spans="2:51">
      <c r="B11" s="23"/>
      <c r="C11" s="27" t="s">
        <v>13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3"/>
      <c r="AA11" s="23"/>
      <c r="AB11" s="134" t="s">
        <v>14</v>
      </c>
      <c r="AC11" s="134"/>
      <c r="AD11" s="134"/>
      <c r="AE11" s="134"/>
      <c r="AF11" s="134"/>
      <c r="AG11" s="134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73"/>
      <c r="AY11" s="174" t="str">
        <f>IF(会社名="","←会社名をご記入ください","")</f>
        <v>←会社名をご記入ください</v>
      </c>
    </row>
    <row r="12" customFormat="1" ht="18" customHeight="1" spans="2:81">
      <c r="B12" s="14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14"/>
      <c r="AA12" s="14"/>
      <c r="AB12" s="135"/>
      <c r="AC12" s="135"/>
      <c r="AD12" s="135"/>
      <c r="AE12" s="135"/>
      <c r="AF12" s="135"/>
      <c r="AG12" s="135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73"/>
      <c r="AY12" s="174" t="str">
        <f>IF(所在地="","←所在地をご記入ください","")</f>
        <v>←所在地をご記入ください</v>
      </c>
      <c r="CC12" s="205"/>
    </row>
    <row r="13" customFormat="1" ht="30" customHeight="1" spans="2:81">
      <c r="B13" s="1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17"/>
      <c r="AA13" s="17"/>
      <c r="AB13" s="133" t="s">
        <v>15</v>
      </c>
      <c r="AC13" s="133"/>
      <c r="AD13" s="133"/>
      <c r="AE13" s="133"/>
      <c r="AF13" s="133"/>
      <c r="AG13" s="133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8" t="s">
        <v>16</v>
      </c>
      <c r="AW13" s="168"/>
      <c r="AX13" s="47"/>
      <c r="AY13" s="175" t="str">
        <f>IF(代表者="","←代表者名のご記入と捺印をしてください※個人印は『ＮＧ』","")</f>
        <v>←代表者名のご記入と捺印をしてください※個人印は『ＮＧ』</v>
      </c>
      <c r="CC13" s="205"/>
    </row>
    <row r="14" customFormat="1" ht="9.75" customHeight="1" spans="2:81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4"/>
      <c r="AF14" s="14"/>
      <c r="AG14" s="14"/>
      <c r="AH14" s="161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76"/>
      <c r="AY14" s="175"/>
      <c r="CC14" s="205"/>
    </row>
    <row r="15" customFormat="1" ht="7.5" customHeight="1" spans="2:8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7"/>
      <c r="CC15" s="205"/>
    </row>
    <row r="16" s="14" customFormat="1" ht="14.25" customHeight="1" spans="2:81">
      <c r="B16" s="28" t="s">
        <v>17</v>
      </c>
      <c r="C16" s="28"/>
      <c r="D16" s="28"/>
      <c r="E16" s="28"/>
      <c r="F16" s="28"/>
      <c r="G16" s="28"/>
      <c r="H16" s="28"/>
      <c r="I16" s="28"/>
      <c r="J16" s="28"/>
      <c r="K16" s="28"/>
      <c r="L16" s="75"/>
      <c r="M16" s="75"/>
      <c r="N16" s="75"/>
      <c r="O16" s="75"/>
      <c r="P16" s="75"/>
      <c r="Q16" s="75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Y16" s="52"/>
      <c r="CC16" s="17"/>
    </row>
    <row r="17" s="14" customFormat="1" ht="27" customHeight="1" spans="2:81">
      <c r="B17" s="29" t="s">
        <v>18</v>
      </c>
      <c r="C17" s="30"/>
      <c r="D17" s="30"/>
      <c r="E17" s="30"/>
      <c r="F17" s="30"/>
      <c r="G17" s="30"/>
      <c r="H17" s="31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178"/>
      <c r="AX17" s="179"/>
      <c r="AY17" s="180" t="str">
        <f>IF(会社名カナ="","←会社名カナをご記入ください","")</f>
        <v>←会社名カナをご記入ください</v>
      </c>
      <c r="CC17" s="17"/>
    </row>
    <row r="18" s="14" customFormat="1" ht="40.5" customHeight="1" spans="2:81">
      <c r="B18" s="32" t="s">
        <v>19</v>
      </c>
      <c r="C18" s="33"/>
      <c r="D18" s="33"/>
      <c r="E18" s="33"/>
      <c r="F18" s="33"/>
      <c r="G18" s="33"/>
      <c r="H18" s="34"/>
      <c r="I18" s="78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181"/>
      <c r="AX18" s="182"/>
      <c r="AY18" s="180" t="str">
        <f>IF(正式名称="","←会社名（正式名称）をご記入ください","")</f>
        <v>←会社名（正式名称）をご記入ください</v>
      </c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CC18" s="17"/>
    </row>
    <row r="19" s="14" customFormat="1" ht="36.95" customHeight="1" spans="2:81">
      <c r="B19" s="35" t="s">
        <v>20</v>
      </c>
      <c r="C19" s="36"/>
      <c r="D19" s="36"/>
      <c r="E19" s="36"/>
      <c r="F19" s="36"/>
      <c r="G19" s="36"/>
      <c r="H19" s="37"/>
      <c r="I19" s="80" t="s">
        <v>21</v>
      </c>
      <c r="J19" s="81"/>
      <c r="K19" s="82"/>
      <c r="L19" s="82"/>
      <c r="M19" s="82"/>
      <c r="N19" s="83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184"/>
      <c r="AY19" s="172" t="str">
        <f>IF(郵便番号="","←本店所在地の郵便番号をご記入ください",IF(郵便番号="","←本店所在地の郵便番号をご記入ください",IF(住所="","←本店所在地をご記入ください","")))</f>
        <v>←本店所在地の郵便番号をご記入ください</v>
      </c>
      <c r="BA19" s="185"/>
      <c r="CC19" s="17"/>
    </row>
    <row r="20" s="14" customFormat="1" ht="27.75" customHeight="1" spans="2:81">
      <c r="B20" s="35" t="s">
        <v>22</v>
      </c>
      <c r="C20" s="36"/>
      <c r="D20" s="36"/>
      <c r="E20" s="36"/>
      <c r="F20" s="36"/>
      <c r="G20" s="36"/>
      <c r="H20" s="37"/>
      <c r="I20" s="85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186"/>
      <c r="AY20" s="180" t="str">
        <f>IF(法人番号="","←法人番号をご記入ください。
ご不明な場合は「国税庁法人番号公表サイト」にてご確認ください","")</f>
        <v>←法人番号をご記入ください。
ご不明な場合は「国税庁法人番号公表サイト」にてご確認ください</v>
      </c>
      <c r="BA20" s="185"/>
      <c r="CC20" s="17"/>
    </row>
    <row r="21" s="14" customFormat="1" ht="27.75" customHeight="1" spans="2:81">
      <c r="B21" s="35" t="s">
        <v>23</v>
      </c>
      <c r="C21" s="36"/>
      <c r="D21" s="36"/>
      <c r="E21" s="36"/>
      <c r="F21" s="36"/>
      <c r="G21" s="36"/>
      <c r="H21" s="37"/>
      <c r="I21" s="85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186"/>
      <c r="AX21" s="180" t="s">
        <v>24</v>
      </c>
      <c r="AY21" s="180"/>
      <c r="BA21" s="185"/>
      <c r="CC21" s="17"/>
    </row>
    <row r="22" s="14" customFormat="1" ht="27" customHeight="1" spans="2:81">
      <c r="B22" s="38" t="s">
        <v>25</v>
      </c>
      <c r="C22" s="39"/>
      <c r="D22" s="39"/>
      <c r="E22" s="39"/>
      <c r="F22" s="39"/>
      <c r="G22" s="39"/>
      <c r="H22" s="40"/>
      <c r="I22" s="87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136" t="s">
        <v>26</v>
      </c>
      <c r="AB22" s="136"/>
      <c r="AC22" s="137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87"/>
      <c r="AX22" s="188"/>
      <c r="AY22" s="180" t="str">
        <f>IF(資本金="","←資本金をご記入ください","")</f>
        <v>←資本金をご記入ください</v>
      </c>
      <c r="BA22" s="185"/>
      <c r="CC22" s="17"/>
    </row>
    <row r="23" s="14" customFormat="1" ht="5.25" customHeight="1" spans="51:81">
      <c r="AY23" s="52"/>
      <c r="CC23" s="17"/>
    </row>
    <row r="24" s="14" customFormat="1" ht="17.25" customHeight="1" spans="2:81">
      <c r="B24" s="28" t="s">
        <v>27</v>
      </c>
      <c r="C24" s="28"/>
      <c r="D24" s="28"/>
      <c r="E24" s="28"/>
      <c r="F24" s="28"/>
      <c r="G24" s="28"/>
      <c r="H24" s="28"/>
      <c r="AY24" s="52"/>
      <c r="CC24" s="17"/>
    </row>
    <row r="25" s="14" customFormat="1" ht="36.95" customHeight="1" spans="2:81">
      <c r="B25" s="41" t="s">
        <v>11</v>
      </c>
      <c r="C25" s="42"/>
      <c r="D25" s="42"/>
      <c r="E25" s="42"/>
      <c r="F25" s="42"/>
      <c r="G25" s="42"/>
      <c r="H25" s="43"/>
      <c r="I25" s="89" t="s">
        <v>21</v>
      </c>
      <c r="J25" s="90"/>
      <c r="K25" s="90"/>
      <c r="L25" s="90"/>
      <c r="M25" s="90"/>
      <c r="N25" s="91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189"/>
      <c r="AY25" s="172" t="str">
        <f>IF(郵便番号1="","←郵便番号をご記入ください",IF(郵便番号1="","←郵便番号をご記入ください",IF(住所２="","←所在地をご記入ください","")))</f>
        <v>←郵便番号をご記入ください</v>
      </c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CC25" s="17"/>
    </row>
    <row r="26" s="14" customFormat="1" ht="30" customHeight="1" spans="2:81">
      <c r="B26" s="44" t="s">
        <v>28</v>
      </c>
      <c r="C26" s="45"/>
      <c r="D26" s="45"/>
      <c r="E26" s="45"/>
      <c r="F26" s="45"/>
      <c r="G26" s="45"/>
      <c r="H26" s="46"/>
      <c r="I26" s="93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139"/>
      <c r="AB26" s="140" t="s">
        <v>29</v>
      </c>
      <c r="AC26" s="45"/>
      <c r="AD26" s="45"/>
      <c r="AE26" s="45"/>
      <c r="AF26" s="45"/>
      <c r="AG26" s="45"/>
      <c r="AH26" s="93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190"/>
      <c r="AY26" s="180" t="str">
        <f>IF(担当者名="","←担当者名をご記入ください","")</f>
        <v>←担当者名をご記入ください</v>
      </c>
      <c r="AZ26" s="183"/>
      <c r="BA26" s="183"/>
      <c r="BB26" s="183"/>
      <c r="BC26" s="183"/>
      <c r="BD26" s="183"/>
      <c r="BE26" s="183"/>
      <c r="BF26" s="183"/>
      <c r="BG26" s="183"/>
      <c r="BH26" s="183"/>
      <c r="BI26" s="183"/>
      <c r="BJ26" s="183"/>
      <c r="BK26" s="183"/>
      <c r="BL26" s="183"/>
      <c r="BM26" s="183"/>
      <c r="BN26" s="183"/>
      <c r="BO26" s="183"/>
      <c r="BP26" s="183"/>
      <c r="CC26" s="17"/>
    </row>
    <row r="27" s="14" customFormat="1" ht="27" customHeight="1" spans="2:81">
      <c r="B27" s="44" t="s">
        <v>30</v>
      </c>
      <c r="C27" s="45"/>
      <c r="D27" s="45"/>
      <c r="E27" s="45"/>
      <c r="F27" s="45"/>
      <c r="G27" s="45"/>
      <c r="H27" s="46"/>
      <c r="I27" s="93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139"/>
      <c r="AB27" s="140" t="s">
        <v>31</v>
      </c>
      <c r="AC27" s="45"/>
      <c r="AD27" s="45"/>
      <c r="AE27" s="45"/>
      <c r="AF27" s="45"/>
      <c r="AG27" s="46"/>
      <c r="AH27" s="93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190"/>
      <c r="AY27" s="172" t="str">
        <f>IF(TEL="","←TELをご記入ください。FAXがない場合 なし とご記入ください",IF(TEL="","←TELをご記入ください",IF(FAX="","←FAXをご記入ください","")))</f>
        <v>←TELをご記入ください。FAXがない場合 なし とご記入ください</v>
      </c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CC27" s="17"/>
    </row>
    <row r="28" s="14" customFormat="1" ht="36" customHeight="1" spans="2:81">
      <c r="B28" s="38" t="s">
        <v>32</v>
      </c>
      <c r="C28" s="39"/>
      <c r="D28" s="39"/>
      <c r="E28" s="39"/>
      <c r="F28" s="39"/>
      <c r="G28" s="39"/>
      <c r="H28" s="40"/>
      <c r="I28" s="95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141" t="s">
        <v>33</v>
      </c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91"/>
      <c r="AX28" s="192"/>
      <c r="AY28" s="183" t="str">
        <f>IF(OR(I28="",AC28=""),"←メールアドレスをご記入ください","")</f>
        <v>←メールアドレスをご記入ください</v>
      </c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3"/>
      <c r="BK28" s="183"/>
      <c r="BL28" s="183"/>
      <c r="BM28" s="183"/>
      <c r="BN28" s="183"/>
      <c r="BO28" s="183"/>
      <c r="BP28" s="183"/>
      <c r="CC28" s="17"/>
    </row>
    <row r="29" s="14" customFormat="1" ht="9.75" customHeight="1" spans="2:81">
      <c r="B29" s="47"/>
      <c r="C29" s="47"/>
      <c r="D29" s="47"/>
      <c r="E29" s="47"/>
      <c r="F29" s="47"/>
      <c r="G29" s="47"/>
      <c r="H29" s="4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52"/>
      <c r="CC29" s="17"/>
    </row>
    <row r="30" s="14" customFormat="1" ht="17.25" customHeight="1" spans="2:81">
      <c r="B30" s="48" t="s">
        <v>34</v>
      </c>
      <c r="C30" s="48"/>
      <c r="D30" s="48"/>
      <c r="E30" s="48"/>
      <c r="F30" s="48"/>
      <c r="G30" s="48"/>
      <c r="H30" s="48"/>
      <c r="AY30" s="52"/>
      <c r="CC30" s="17"/>
    </row>
    <row r="31" s="14" customFormat="1" ht="17.25" customHeight="1" spans="2:81">
      <c r="B31" s="49" t="s">
        <v>35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Y31" s="52"/>
      <c r="CC31" s="17"/>
    </row>
    <row r="32" s="14" customFormat="1" ht="24" customHeight="1" spans="2:81">
      <c r="B32" s="50" t="s">
        <v>36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43" t="s">
        <v>37</v>
      </c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93"/>
      <c r="AY32" s="52"/>
      <c r="CC32" s="17"/>
    </row>
    <row r="33" s="14" customFormat="1" ht="17.25" customHeight="1" spans="2:81">
      <c r="B33" s="52" t="s">
        <v>38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Y33" s="52"/>
      <c r="CC33" s="17"/>
    </row>
    <row r="34" s="14" customFormat="1" ht="36.95" customHeight="1" spans="2:81">
      <c r="B34" s="41" t="s">
        <v>11</v>
      </c>
      <c r="C34" s="42"/>
      <c r="D34" s="42"/>
      <c r="E34" s="42"/>
      <c r="F34" s="42"/>
      <c r="G34" s="42"/>
      <c r="H34" s="43"/>
      <c r="I34" s="89" t="s">
        <v>21</v>
      </c>
      <c r="J34" s="90"/>
      <c r="K34" s="90"/>
      <c r="L34" s="90"/>
      <c r="M34" s="98"/>
      <c r="N34" s="76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178"/>
      <c r="AY34" s="172" t="str">
        <f>IF(Z32="同一（以下記載不要）","",IF(J34="","←郵便番号をご記入ください",IF(J34="","←郵便番号をご記入ください",IF(N34="","←所在地をご記入ください",""))))</f>
        <v/>
      </c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CC34" s="17"/>
    </row>
    <row r="35" s="14" customFormat="1" ht="30" customHeight="1" spans="2:81">
      <c r="B35" s="44" t="s">
        <v>28</v>
      </c>
      <c r="C35" s="45"/>
      <c r="D35" s="45"/>
      <c r="E35" s="45"/>
      <c r="F35" s="45"/>
      <c r="G35" s="45"/>
      <c r="H35" s="46"/>
      <c r="I35" s="93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139"/>
      <c r="AB35" s="140" t="s">
        <v>29</v>
      </c>
      <c r="AC35" s="45"/>
      <c r="AD35" s="45"/>
      <c r="AE35" s="45"/>
      <c r="AF35" s="45"/>
      <c r="AG35" s="45"/>
      <c r="AH35" s="93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190"/>
      <c r="AY35" s="180" t="str">
        <f>IF(Z32="同一（以下記載不要）","",IF(AH35="","←担当者名をご記入ください",""))</f>
        <v/>
      </c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CC35" s="17"/>
    </row>
    <row r="36" s="14" customFormat="1" ht="27" customHeight="1" spans="2:81">
      <c r="B36" s="44" t="s">
        <v>30</v>
      </c>
      <c r="C36" s="45"/>
      <c r="D36" s="45"/>
      <c r="E36" s="45"/>
      <c r="F36" s="45"/>
      <c r="G36" s="45"/>
      <c r="H36" s="46"/>
      <c r="I36" s="99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45"/>
      <c r="AB36" s="140"/>
      <c r="AC36" s="45"/>
      <c r="AD36" s="45"/>
      <c r="AE36" s="45"/>
      <c r="AF36" s="45"/>
      <c r="AG36" s="45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190"/>
      <c r="AY36" s="172" t="str">
        <f>IF(Z32="同一（以下記載不要）","",IF(I36="","←TELをご記入ください",""))</f>
        <v/>
      </c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CC36" s="17"/>
    </row>
    <row r="37" s="14" customFormat="1" ht="36" customHeight="1" spans="2:81">
      <c r="B37" s="38" t="s">
        <v>32</v>
      </c>
      <c r="C37" s="39"/>
      <c r="D37" s="39"/>
      <c r="E37" s="39"/>
      <c r="F37" s="39"/>
      <c r="G37" s="39"/>
      <c r="H37" s="40"/>
      <c r="I37" s="95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146" t="s">
        <v>33</v>
      </c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91"/>
      <c r="AX37" s="192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CC37" s="17"/>
    </row>
    <row r="38" s="14" customFormat="1" ht="9.75" customHeight="1" spans="2:81">
      <c r="B38" s="47"/>
      <c r="C38" s="47"/>
      <c r="D38" s="47"/>
      <c r="E38" s="47"/>
      <c r="F38" s="47"/>
      <c r="G38" s="47"/>
      <c r="H38" s="4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52"/>
      <c r="CC38" s="17"/>
    </row>
    <row r="39" customFormat="1" customHeight="1" spans="2:81">
      <c r="B39" s="28" t="s">
        <v>39</v>
      </c>
      <c r="C39" s="28"/>
      <c r="D39" s="28"/>
      <c r="E39" s="28"/>
      <c r="F39" s="28"/>
      <c r="G39" s="28"/>
      <c r="H39" s="28"/>
      <c r="I39" s="101" t="s">
        <v>40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94"/>
      <c r="AY39" s="177"/>
      <c r="BC39" s="185"/>
      <c r="CC39" s="205"/>
    </row>
    <row r="40" customFormat="1" customHeight="1" spans="2:81">
      <c r="B40" s="41" t="s">
        <v>41</v>
      </c>
      <c r="C40" s="42"/>
      <c r="D40" s="42"/>
      <c r="E40" s="42"/>
      <c r="F40" s="42"/>
      <c r="G40" s="42"/>
      <c r="H40" s="42"/>
      <c r="I40" s="42"/>
      <c r="J40" s="42"/>
      <c r="K40" s="42"/>
      <c r="L40" s="43"/>
      <c r="M40" s="102" t="s">
        <v>42</v>
      </c>
      <c r="N40" s="42"/>
      <c r="O40" s="42"/>
      <c r="P40" s="42"/>
      <c r="Q40" s="42"/>
      <c r="R40" s="42"/>
      <c r="S40" s="42"/>
      <c r="T40" s="42"/>
      <c r="U40" s="42"/>
      <c r="V40" s="43"/>
      <c r="W40" s="102" t="s">
        <v>43</v>
      </c>
      <c r="X40" s="42"/>
      <c r="Y40" s="42"/>
      <c r="Z40" s="42"/>
      <c r="AA40" s="42"/>
      <c r="AB40" s="42"/>
      <c r="AC40" s="43"/>
      <c r="AD40" s="102" t="s">
        <v>44</v>
      </c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195"/>
      <c r="AX40" s="16"/>
      <c r="AY40" s="177"/>
      <c r="CC40" s="205"/>
    </row>
    <row r="41" s="14" customFormat="1" ht="23.1" customHeight="1" spans="2:81"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103"/>
      <c r="N41" s="54"/>
      <c r="O41" s="54"/>
      <c r="P41" s="54"/>
      <c r="Q41" s="54"/>
      <c r="R41" s="54"/>
      <c r="S41" s="54"/>
      <c r="T41" s="54"/>
      <c r="U41" s="54"/>
      <c r="V41" s="122"/>
      <c r="W41" s="123"/>
      <c r="X41" s="124"/>
      <c r="Y41" s="124"/>
      <c r="Z41" s="124"/>
      <c r="AA41" s="124"/>
      <c r="AB41" s="124"/>
      <c r="AC41" s="147"/>
      <c r="AD41" s="148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96"/>
      <c r="AY41" s="52"/>
      <c r="CC41" s="17"/>
    </row>
    <row r="42" s="14" customFormat="1" ht="23.1" customHeight="1" spans="2:81">
      <c r="B42" s="55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104"/>
      <c r="N42" s="56"/>
      <c r="O42" s="56"/>
      <c r="P42" s="56"/>
      <c r="Q42" s="56"/>
      <c r="R42" s="56"/>
      <c r="S42" s="56"/>
      <c r="T42" s="56"/>
      <c r="U42" s="56"/>
      <c r="V42" s="125"/>
      <c r="W42" s="126"/>
      <c r="X42" s="127"/>
      <c r="Y42" s="127"/>
      <c r="Z42" s="127"/>
      <c r="AA42" s="127"/>
      <c r="AB42" s="127"/>
      <c r="AC42" s="150"/>
      <c r="AD42" s="151"/>
      <c r="AG42" s="163"/>
      <c r="AH42" s="164"/>
      <c r="AI42" s="163"/>
      <c r="AJ42" s="164"/>
      <c r="AK42" s="163"/>
      <c r="AL42" s="164"/>
      <c r="AM42" s="163"/>
      <c r="AN42" s="164"/>
      <c r="AO42" s="163"/>
      <c r="AP42" s="164"/>
      <c r="AQ42" s="163"/>
      <c r="AR42" s="164"/>
      <c r="AS42" s="163"/>
      <c r="AT42" s="164"/>
      <c r="AU42" s="169"/>
      <c r="AW42" s="197"/>
      <c r="AY42" s="172" t="str">
        <f>IF(金融機関名="","←金融機関名をご記入ください",IF(支店名="","←支店名をご記入ください",IF(口座番号最後="","←口座番号をご記入ください","")))</f>
        <v>←金融機関名をご記入ください</v>
      </c>
      <c r="CC42" s="17"/>
    </row>
    <row r="43" s="14" customFormat="1" ht="23.1" customHeight="1" spans="2:81"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58"/>
      <c r="O43" s="58"/>
      <c r="P43" s="58"/>
      <c r="Q43" s="58"/>
      <c r="R43" s="58"/>
      <c r="S43" s="58"/>
      <c r="T43" s="58"/>
      <c r="U43" s="58"/>
      <c r="V43" s="128"/>
      <c r="W43" s="129"/>
      <c r="X43" s="130"/>
      <c r="Y43" s="130"/>
      <c r="Z43" s="130"/>
      <c r="AA43" s="130"/>
      <c r="AB43" s="130"/>
      <c r="AC43" s="152"/>
      <c r="AD43" s="151"/>
      <c r="AG43" s="165"/>
      <c r="AH43" s="166"/>
      <c r="AI43" s="165"/>
      <c r="AJ43" s="166"/>
      <c r="AK43" s="165"/>
      <c r="AL43" s="166"/>
      <c r="AM43" s="165"/>
      <c r="AN43" s="166"/>
      <c r="AO43" s="165"/>
      <c r="AP43" s="166"/>
      <c r="AQ43" s="165"/>
      <c r="AR43" s="166"/>
      <c r="AS43" s="165"/>
      <c r="AT43" s="166"/>
      <c r="AU43" s="169"/>
      <c r="AW43" s="197"/>
      <c r="AY43" s="52"/>
      <c r="CC43" s="17"/>
    </row>
    <row r="44" s="14" customFormat="1" ht="22.5" customHeight="1" spans="2:81">
      <c r="B44" s="59" t="s">
        <v>45</v>
      </c>
      <c r="C44" s="60"/>
      <c r="D44" s="61"/>
      <c r="E44" s="62"/>
      <c r="F44" s="63"/>
      <c r="G44" s="62"/>
      <c r="H44" s="63"/>
      <c r="I44" s="62"/>
      <c r="J44" s="63"/>
      <c r="K44" s="62"/>
      <c r="L44" s="63"/>
      <c r="M44" s="106" t="s">
        <v>46</v>
      </c>
      <c r="N44" s="107"/>
      <c r="O44" s="107"/>
      <c r="P44" s="108"/>
      <c r="Q44" s="62"/>
      <c r="R44" s="63"/>
      <c r="S44" s="62"/>
      <c r="T44" s="63"/>
      <c r="U44" s="62"/>
      <c r="V44" s="63"/>
      <c r="W44" s="106" t="s">
        <v>47</v>
      </c>
      <c r="X44" s="107"/>
      <c r="Y44" s="107"/>
      <c r="Z44" s="107"/>
      <c r="AA44" s="107"/>
      <c r="AB44" s="107"/>
      <c r="AC44" s="108"/>
      <c r="AD44" s="153"/>
      <c r="AE44" s="154" t="s">
        <v>48</v>
      </c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98"/>
      <c r="AY44" s="52"/>
      <c r="CC44" s="17"/>
    </row>
    <row r="45" ht="14.25" hidden="1" customHeight="1" spans="2:50">
      <c r="B45" s="64" t="s">
        <v>49</v>
      </c>
      <c r="C45" s="65"/>
      <c r="D45" s="65"/>
      <c r="E45" s="65"/>
      <c r="F45" s="65"/>
      <c r="G45" s="65"/>
      <c r="H45" s="65"/>
      <c r="I45" s="65"/>
      <c r="J45" s="65"/>
      <c r="K45" s="65"/>
      <c r="L45" s="109"/>
      <c r="M45" s="110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99"/>
      <c r="AX45" s="16"/>
    </row>
    <row r="46" ht="13.5" hidden="1" customHeight="1" spans="2:50">
      <c r="B46" s="66" t="s">
        <v>50</v>
      </c>
      <c r="C46" s="67"/>
      <c r="D46" s="67"/>
      <c r="E46" s="67"/>
      <c r="F46" s="67"/>
      <c r="G46" s="67"/>
      <c r="H46" s="67"/>
      <c r="I46" s="67"/>
      <c r="J46" s="67"/>
      <c r="K46" s="67"/>
      <c r="L46" s="112"/>
      <c r="M46" s="113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200"/>
      <c r="AX46" s="201"/>
    </row>
    <row r="47" ht="14.25" hidden="1" customHeight="1" spans="2:50">
      <c r="B47" s="68" t="s">
        <v>51</v>
      </c>
      <c r="C47" s="69"/>
      <c r="D47" s="69"/>
      <c r="E47" s="69"/>
      <c r="F47" s="69"/>
      <c r="G47" s="69"/>
      <c r="H47" s="69"/>
      <c r="I47" s="69"/>
      <c r="J47" s="69"/>
      <c r="K47" s="69"/>
      <c r="L47" s="115"/>
      <c r="M47" s="116"/>
      <c r="N47" s="117"/>
      <c r="O47" s="117"/>
      <c r="P47" s="117"/>
      <c r="Q47" s="117"/>
      <c r="R47" s="117"/>
      <c r="S47" s="117"/>
      <c r="T47" s="131" t="s">
        <v>52</v>
      </c>
      <c r="U47" s="131"/>
      <c r="V47" s="117"/>
      <c r="W47" s="117"/>
      <c r="X47" s="117"/>
      <c r="Y47" s="117"/>
      <c r="Z47" s="117"/>
      <c r="AA47" s="117"/>
      <c r="AB47" s="131" t="s">
        <v>53</v>
      </c>
      <c r="AC47" s="131"/>
      <c r="AD47" s="131" t="s">
        <v>54</v>
      </c>
      <c r="AE47" s="131"/>
      <c r="AF47" s="131"/>
      <c r="AG47" s="131"/>
      <c r="AH47" s="131"/>
      <c r="AI47" s="131"/>
      <c r="AJ47" s="131"/>
      <c r="AK47" s="131" t="s">
        <v>44</v>
      </c>
      <c r="AL47" s="131"/>
      <c r="AM47" s="131"/>
      <c r="AN47" s="131"/>
      <c r="AO47" s="170" t="s">
        <v>55</v>
      </c>
      <c r="AP47" s="45"/>
      <c r="AQ47" s="45"/>
      <c r="AR47" s="45"/>
      <c r="AS47" s="45"/>
      <c r="AT47" s="45"/>
      <c r="AU47" s="45"/>
      <c r="AV47" s="45"/>
      <c r="AW47" s="202" t="s">
        <v>56</v>
      </c>
      <c r="AX47" s="52"/>
    </row>
    <row r="48" ht="27" customHeight="1" spans="2:77">
      <c r="B48" s="38" t="s">
        <v>57</v>
      </c>
      <c r="C48" s="39"/>
      <c r="D48" s="39"/>
      <c r="E48" s="39"/>
      <c r="F48" s="39"/>
      <c r="G48" s="39"/>
      <c r="H48" s="39"/>
      <c r="I48" s="39"/>
      <c r="J48" s="39"/>
      <c r="K48" s="39"/>
      <c r="L48" s="40"/>
      <c r="M48" s="118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71"/>
      <c r="AR48" s="171"/>
      <c r="AS48" s="171"/>
      <c r="AT48" s="171"/>
      <c r="AU48" s="171"/>
      <c r="AV48" s="171"/>
      <c r="AW48" s="203"/>
      <c r="AX48" s="16"/>
      <c r="AY48" s="204" t="str">
        <f>IF(口座名義カナ="","←振込先口座の名義カナをご記入ください（文字制限30文字）","")</f>
        <v>←振込先口座の名義カナをご記入ください（文字制限30文字）</v>
      </c>
      <c r="BY48" s="16"/>
    </row>
    <row r="49" ht="14.45" customHeight="1" spans="2:47">
      <c r="B49" s="70" t="s">
        <v>58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</row>
    <row r="50" ht="13.5" spans="2:9">
      <c r="B50" s="71" t="s">
        <v>59</v>
      </c>
      <c r="C50" s="70" t="s">
        <v>60</v>
      </c>
      <c r="D50" s="70"/>
      <c r="F50" s="72" t="s">
        <v>59</v>
      </c>
      <c r="G50" s="70" t="s">
        <v>61</v>
      </c>
      <c r="H50" s="70"/>
      <c r="I50" s="70"/>
    </row>
    <row r="51" customHeight="1" spans="2:48">
      <c r="B51" s="48" t="s">
        <v>62</v>
      </c>
      <c r="C51" s="48"/>
      <c r="D51" s="48"/>
      <c r="E51" s="48"/>
      <c r="F51" s="48"/>
      <c r="G51" s="48"/>
      <c r="H51" s="48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ht="14.25" customHeight="1" spans="2:48">
      <c r="B52" s="70"/>
      <c r="C52" s="70" t="s">
        <v>63</v>
      </c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ht="14.25" customHeight="1" spans="2:48">
      <c r="B53" s="70"/>
      <c r="C53" s="70" t="s">
        <v>64</v>
      </c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customHeight="1" spans="2:8">
      <c r="B54" s="48"/>
      <c r="C54" s="48"/>
      <c r="D54" s="48"/>
      <c r="E54" s="48"/>
      <c r="F54" s="48"/>
      <c r="G54" s="48"/>
      <c r="H54" s="48"/>
    </row>
    <row r="55" customHeight="1" spans="3:48">
      <c r="C55" s="7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customHeight="1" spans="3:48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61" customHeight="1" spans="46:46">
      <c r="AT61" s="17"/>
    </row>
    <row r="70" ht="9.75" customHeight="1"/>
  </sheetData>
  <mergeCells count="115">
    <mergeCell ref="B2:F2"/>
    <mergeCell ref="B3:F3"/>
    <mergeCell ref="B6:AW6"/>
    <mergeCell ref="AI8:AL8"/>
    <mergeCell ref="AM8:AP8"/>
    <mergeCell ref="AR8:AS8"/>
    <mergeCell ref="AU8:AV8"/>
    <mergeCell ref="V9:W9"/>
    <mergeCell ref="Z9:AA9"/>
    <mergeCell ref="C10:U10"/>
    <mergeCell ref="AB13:AG13"/>
    <mergeCell ref="AH13:AU13"/>
    <mergeCell ref="AV13:AW13"/>
    <mergeCell ref="AH14:AW14"/>
    <mergeCell ref="B16:K16"/>
    <mergeCell ref="L16:Q16"/>
    <mergeCell ref="B17:H17"/>
    <mergeCell ref="I17:AW17"/>
    <mergeCell ref="B18:H18"/>
    <mergeCell ref="I18:AW18"/>
    <mergeCell ref="B19:H19"/>
    <mergeCell ref="J19:M19"/>
    <mergeCell ref="N19:AW19"/>
    <mergeCell ref="B20:H20"/>
    <mergeCell ref="I20:AW20"/>
    <mergeCell ref="B21:H21"/>
    <mergeCell ref="I21:AW21"/>
    <mergeCell ref="B22:H22"/>
    <mergeCell ref="I22:Z22"/>
    <mergeCell ref="AA22:AB22"/>
    <mergeCell ref="AC22:AW22"/>
    <mergeCell ref="B25:H25"/>
    <mergeCell ref="J25:M25"/>
    <mergeCell ref="N25:AW25"/>
    <mergeCell ref="B26:H26"/>
    <mergeCell ref="I26:AA26"/>
    <mergeCell ref="AB26:AG26"/>
    <mergeCell ref="AH26:AW26"/>
    <mergeCell ref="B27:H27"/>
    <mergeCell ref="I27:AA27"/>
    <mergeCell ref="AB27:AG27"/>
    <mergeCell ref="AH27:AW27"/>
    <mergeCell ref="B28:H28"/>
    <mergeCell ref="I28:AA28"/>
    <mergeCell ref="AC28:AW28"/>
    <mergeCell ref="B31:AW31"/>
    <mergeCell ref="B32:Y32"/>
    <mergeCell ref="Z32:AW32"/>
    <mergeCell ref="B34:H34"/>
    <mergeCell ref="J34:M34"/>
    <mergeCell ref="N34:AW34"/>
    <mergeCell ref="B35:H35"/>
    <mergeCell ref="I35:AA35"/>
    <mergeCell ref="AB35:AG35"/>
    <mergeCell ref="AH35:AW35"/>
    <mergeCell ref="B36:H36"/>
    <mergeCell ref="I36:AA36"/>
    <mergeCell ref="AB36:AG36"/>
    <mergeCell ref="AH36:AW36"/>
    <mergeCell ref="B37:H37"/>
    <mergeCell ref="I37:AA37"/>
    <mergeCell ref="AC37:AW37"/>
    <mergeCell ref="B39:H39"/>
    <mergeCell ref="I39:AW39"/>
    <mergeCell ref="B40:L40"/>
    <mergeCell ref="M40:V40"/>
    <mergeCell ref="W40:AC40"/>
    <mergeCell ref="AD40:AW40"/>
    <mergeCell ref="B44:D44"/>
    <mergeCell ref="E44:F44"/>
    <mergeCell ref="G44:H44"/>
    <mergeCell ref="I44:J44"/>
    <mergeCell ref="K44:L44"/>
    <mergeCell ref="M44:P44"/>
    <mergeCell ref="Q44:R44"/>
    <mergeCell ref="S44:T44"/>
    <mergeCell ref="U44:V44"/>
    <mergeCell ref="W44:AC44"/>
    <mergeCell ref="AE44:AV44"/>
    <mergeCell ref="B45:L45"/>
    <mergeCell ref="B46:L46"/>
    <mergeCell ref="M46:AW46"/>
    <mergeCell ref="B47:L47"/>
    <mergeCell ref="M47:S47"/>
    <mergeCell ref="T47:U47"/>
    <mergeCell ref="V47:AA47"/>
    <mergeCell ref="AB47:AC47"/>
    <mergeCell ref="AD47:AJ47"/>
    <mergeCell ref="AK47:AN47"/>
    <mergeCell ref="AP47:AV47"/>
    <mergeCell ref="B48:L48"/>
    <mergeCell ref="B49:AU49"/>
    <mergeCell ref="C50:D50"/>
    <mergeCell ref="G50:H50"/>
    <mergeCell ref="B51:H51"/>
    <mergeCell ref="C52:AV52"/>
    <mergeCell ref="B54:H54"/>
    <mergeCell ref="AY11:AY12"/>
    <mergeCell ref="AB9:AG10"/>
    <mergeCell ref="AH9:AW10"/>
    <mergeCell ref="C11:Y13"/>
    <mergeCell ref="AB11:AG12"/>
    <mergeCell ref="AH11:AW12"/>
    <mergeCell ref="C8:U9"/>
    <mergeCell ref="AG42:AH43"/>
    <mergeCell ref="AI42:AJ43"/>
    <mergeCell ref="AK42:AL43"/>
    <mergeCell ref="AM42:AN43"/>
    <mergeCell ref="AO42:AP43"/>
    <mergeCell ref="AQ42:AR43"/>
    <mergeCell ref="AS42:AT43"/>
    <mergeCell ref="B41:L43"/>
    <mergeCell ref="M41:V43"/>
    <mergeCell ref="W41:AC43"/>
    <mergeCell ref="C55:AV56"/>
  </mergeCells>
  <conditionalFormatting sqref="I21:AW21">
    <cfRule type="expression" dxfId="0" priority="3">
      <formula>""</formula>
    </cfRule>
    <cfRule type="cellIs" dxfId="1" priority="2" operator="equal">
      <formula>""""""</formula>
    </cfRule>
    <cfRule type="cellIs" dxfId="1" priority="1" operator="equal">
      <formula>""</formula>
    </cfRule>
  </conditionalFormatting>
  <conditionalFormatting sqref="I22">
    <cfRule type="cellIs" dxfId="1" priority="13" operator="equal">
      <formula>""""""</formula>
    </cfRule>
    <cfRule type="cellIs" dxfId="1" priority="12" operator="equal">
      <formula>""</formula>
    </cfRule>
  </conditionalFormatting>
  <conditionalFormatting sqref="N25:AW25">
    <cfRule type="cellIs" dxfId="1" priority="18" operator="equal">
      <formula>""""""</formula>
    </cfRule>
    <cfRule type="expression" dxfId="0" priority="19" stopIfTrue="1">
      <formula>$N$25=""</formula>
    </cfRule>
  </conditionalFormatting>
  <conditionalFormatting sqref="N34:AW34">
    <cfRule type="cellIs" dxfId="1" priority="9" operator="equal">
      <formula>"　"</formula>
    </cfRule>
    <cfRule type="expression" dxfId="0" priority="10" stopIfTrue="1">
      <formula>$N$34=""</formula>
    </cfRule>
  </conditionalFormatting>
  <conditionalFormatting sqref="M48">
    <cfRule type="expression" dxfId="0" priority="15" stopIfTrue="1">
      <formula>$M$48=""</formula>
    </cfRule>
    <cfRule type="cellIs" dxfId="1" priority="16" stopIfTrue="1" operator="equal">
      <formula>""</formula>
    </cfRule>
  </conditionalFormatting>
  <conditionalFormatting sqref="N48:AP48">
    <cfRule type="expression" dxfId="0" priority="14">
      <formula>$M$48=""</formula>
    </cfRule>
  </conditionalFormatting>
  <conditionalFormatting sqref="I28:AW28 N19:AW19 C8:U9 AH9:AW12 AH13:AU13 J25:M25 I27:AA27 AH26:AW27 B41:V43 AM8:AP8 AR8:AS8 AU8:AV8 I17:AW18 I20:I21 J19">
    <cfRule type="cellIs" dxfId="1" priority="17" operator="equal">
      <formula>""</formula>
    </cfRule>
  </conditionalFormatting>
  <conditionalFormatting sqref="B34:AW37">
    <cfRule type="expression" dxfId="2" priority="6">
      <formula>$Z$32="同一（以下記載不要）"</formula>
    </cfRule>
    <cfRule type="expression" dxfId="2" priority="7">
      <formula>$Z$31="同一（以下記載不要）"</formula>
    </cfRule>
  </conditionalFormatting>
  <conditionalFormatting sqref="J34 N34 AH35 I36:I37 AC37">
    <cfRule type="cellIs" dxfId="1" priority="8" operator="equal">
      <formula>""</formula>
    </cfRule>
  </conditionalFormatting>
  <conditionalFormatting sqref="W41:AC43">
    <cfRule type="expression" dxfId="3" priority="20">
      <formula>$AB$1="0"</formula>
    </cfRule>
  </conditionalFormatting>
  <conditionalFormatting sqref="AG42:AH43">
    <cfRule type="expression" dxfId="0" priority="27" stopIfTrue="1">
      <formula>$AG$42=""</formula>
    </cfRule>
  </conditionalFormatting>
  <conditionalFormatting sqref="AI42:AJ43">
    <cfRule type="expression" dxfId="0" priority="26" stopIfTrue="1">
      <formula>$AI$42=""</formula>
    </cfRule>
  </conditionalFormatting>
  <conditionalFormatting sqref="AK42:AL43">
    <cfRule type="expression" dxfId="0" priority="25" stopIfTrue="1">
      <formula>$AK$42=""</formula>
    </cfRule>
  </conditionalFormatting>
  <conditionalFormatting sqref="AM42:AN43">
    <cfRule type="expression" dxfId="0" priority="24" stopIfTrue="1">
      <formula>$AM$42=""</formula>
    </cfRule>
  </conditionalFormatting>
  <conditionalFormatting sqref="AO42:AP43">
    <cfRule type="expression" dxfId="0" priority="23" stopIfTrue="1">
      <formula>$AO$42=""</formula>
    </cfRule>
  </conditionalFormatting>
  <conditionalFormatting sqref="AQ42:AR43">
    <cfRule type="expression" dxfId="0" priority="22" stopIfTrue="1">
      <formula>$AQ$42=""</formula>
    </cfRule>
  </conditionalFormatting>
  <conditionalFormatting sqref="AS42:AT43">
    <cfRule type="expression" dxfId="0" priority="21" stopIfTrue="1">
      <formula>$AS$42=""</formula>
    </cfRule>
  </conditionalFormatting>
  <dataValidations count="11">
    <dataValidation allowBlank="1" showInputMessage="1" showErrorMessage="1" sqref="I17:AX17 I28:AA28 AC28:AW28 I37:AA37 AC37:AW37"/>
    <dataValidation type="textLength" operator="equal" allowBlank="1" showInputMessage="1" showErrorMessage="1" prompt="「国税庁法人番号公表サイト」にて法人番号を確認し、ご記入ください" sqref="I20:AW20">
      <formula1>13</formula1>
    </dataValidation>
    <dataValidation type="textLength" operator="equal" allowBlank="1" showInputMessage="1" showErrorMessage="1" prompt="「国税庁適格請求書発行事業者公表サイト」にてTから始まる登録番号(ハイフン無し14桁)を確認し、ご記入ください。未登録の場合は空欄で結構です。" sqref="I21:AW21">
      <formula1>14</formula1>
    </dataValidation>
    <dataValidation allowBlank="1" showInputMessage="1" showErrorMessage="1" prompt="ハイフン（ー）を入れてください&#10;" sqref="I27:AA27 I36:AA36"/>
    <dataValidation allowBlank="1" showInputMessage="1" showErrorMessage="1" prompt="ハイフン（ー）を入れてください&#10;FAXがない場合、なしとご記入下さい&#10;" sqref="AH27:AW27"/>
    <dataValidation type="list" allowBlank="1" showInputMessage="1" showErrorMessage="1" sqref="Z32:AW32">
      <formula1>"同一（以下記載不要）,異なる（以下に記載してください）"</formula1>
    </dataValidation>
    <dataValidation allowBlank="1" showInputMessage="1" showErrorMessage="1" prompt="記載した銀行名と金融機関コードの相違にご注意ください" sqref="B41"/>
    <dataValidation allowBlank="1" showInputMessage="1" showErrorMessage="1" prompt="記載した支店名と支店コードの相違にご注意ください" sqref="M41"/>
    <dataValidation allowBlank="1" showInputMessage="1" showErrorMessage="1" promptTitle="入力文字" prompt="半角英数｢0｣～｢9｣､｢A｣～｢Z｣&#10;半角ｶﾅ｢ｱ｣～｢ﾝ｣  濁点･半濁点｢ﾞ｣､｢ﾟ｣&#10;半角記号｢\｣､｢,｣､｢.｣､｢｢｣､｢｣｣､&#10;｢(｣､｢)｣､｢-(ﾊｲﾌﾝ)｣､｢/｣ 半角ｽﾍﾟｰｽ&#10;&#10;※小文字の英字は使用できないのでご注意ください" sqref="M45:AX45"/>
    <dataValidation allowBlank="1" showInputMessage="1" showErrorMessage="1" promptTitle="入力文字の注意事項" prompt="文字制限　30文字&#10;※法人格については、略語でご記入ください&#10;　（略語については法人略語一覧をご参照）&#10;※30文字を超える場合は、先頭から入る所まで入力してください" sqref="M48:AP48"/>
    <dataValidation type="textLength" operator="equal" allowBlank="1" showInputMessage="1" showErrorMessage="1" error="数字一桁で入力してください" sqref="AG42:AT43">
      <formula1>1</formula1>
    </dataValidation>
  </dataValidations>
  <hyperlinks>
    <hyperlink ref="B31" location="はじめにお読みください!A1" display="■上記「営業窓口」と「購買窓口」が同一/異なるいすれかを選択した上で、異なる場合は「購買窓口」の連絡先情報を記載してください。"/>
  </hyperlinks>
  <printOptions horizontalCentered="1"/>
  <pageMargins left="0.196850393700787" right="0.196850393700787" top="0.393700787401575" bottom="0.15748031496063" header="0.196850393700787" footer="0.275590551181102"/>
  <pageSetup paperSize="9" scale="85" orientation="portrait"/>
  <headerFooter alignWithMargins="0"/>
  <colBreaks count="1" manualBreakCount="1">
    <brk id="50" max="1048575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name="Option Button 1" r:id="rId3">
              <controlPr defaultSize="0">
                <anchor moveWithCells="1" sizeWithCells="1">
                  <from>
                    <xdr:col>23</xdr:col>
                    <xdr:colOff>0</xdr:colOff>
                    <xdr:row>40</xdr:row>
                    <xdr:rowOff>38100</xdr:rowOff>
                  </from>
                  <to>
                    <xdr:col>27</xdr:col>
                    <xdr:colOff>123825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name="Option Button 2" r:id="rId4">
              <controlPr defaultSize="0">
                <anchor moveWithCells="1" sizeWithCells="1">
                  <from>
                    <xdr:col>23</xdr:col>
                    <xdr:colOff>0</xdr:colOff>
                    <xdr:row>41</xdr:row>
                    <xdr:rowOff>57150</xdr:rowOff>
                  </from>
                  <to>
                    <xdr:col>27</xdr:col>
                    <xdr:colOff>123825</xdr:colOff>
                    <xdr:row>41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name="Option Button 3" r:id="rId5">
              <controlPr defaultSize="0">
                <anchor moveWithCells="1" sizeWithCells="1">
                  <from>
                    <xdr:col>23</xdr:col>
                    <xdr:colOff>0</xdr:colOff>
                    <xdr:row>42</xdr:row>
                    <xdr:rowOff>9525</xdr:rowOff>
                  </from>
                  <to>
                    <xdr:col>27</xdr:col>
                    <xdr:colOff>123825</xdr:colOff>
                    <xdr:row>42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showGridLines="0" workbookViewId="0">
      <pane ySplit="4" topLeftCell="A35" activePane="bottomLeft" state="frozen"/>
      <selection/>
      <selection pane="bottomLeft" activeCell="H36" sqref="H36"/>
    </sheetView>
  </sheetViews>
  <sheetFormatPr defaultColWidth="9" defaultRowHeight="12" outlineLevelCol="3"/>
  <cols>
    <col min="1" max="1" width="30.625" style="1" customWidth="1"/>
    <col min="2" max="4" width="10.625" style="1" customWidth="1"/>
    <col min="5" max="256" width="9" style="1"/>
    <col min="257" max="257" width="30.625" style="1" customWidth="1"/>
    <col min="258" max="260" width="10.625" style="1" customWidth="1"/>
    <col min="261" max="512" width="9" style="1"/>
    <col min="513" max="513" width="30.625" style="1" customWidth="1"/>
    <col min="514" max="516" width="10.625" style="1" customWidth="1"/>
    <col min="517" max="768" width="9" style="1"/>
    <col min="769" max="769" width="30.625" style="1" customWidth="1"/>
    <col min="770" max="772" width="10.625" style="1" customWidth="1"/>
    <col min="773" max="1024" width="9" style="1"/>
    <col min="1025" max="1025" width="30.625" style="1" customWidth="1"/>
    <col min="1026" max="1028" width="10.625" style="1" customWidth="1"/>
    <col min="1029" max="1280" width="9" style="1"/>
    <col min="1281" max="1281" width="30.625" style="1" customWidth="1"/>
    <col min="1282" max="1284" width="10.625" style="1" customWidth="1"/>
    <col min="1285" max="1536" width="9" style="1"/>
    <col min="1537" max="1537" width="30.625" style="1" customWidth="1"/>
    <col min="1538" max="1540" width="10.625" style="1" customWidth="1"/>
    <col min="1541" max="1792" width="9" style="1"/>
    <col min="1793" max="1793" width="30.625" style="1" customWidth="1"/>
    <col min="1794" max="1796" width="10.625" style="1" customWidth="1"/>
    <col min="1797" max="2048" width="9" style="1"/>
    <col min="2049" max="2049" width="30.625" style="1" customWidth="1"/>
    <col min="2050" max="2052" width="10.625" style="1" customWidth="1"/>
    <col min="2053" max="2304" width="9" style="1"/>
    <col min="2305" max="2305" width="30.625" style="1" customWidth="1"/>
    <col min="2306" max="2308" width="10.625" style="1" customWidth="1"/>
    <col min="2309" max="2560" width="9" style="1"/>
    <col min="2561" max="2561" width="30.625" style="1" customWidth="1"/>
    <col min="2562" max="2564" width="10.625" style="1" customWidth="1"/>
    <col min="2565" max="2816" width="9" style="1"/>
    <col min="2817" max="2817" width="30.625" style="1" customWidth="1"/>
    <col min="2818" max="2820" width="10.625" style="1" customWidth="1"/>
    <col min="2821" max="3072" width="9" style="1"/>
    <col min="3073" max="3073" width="30.625" style="1" customWidth="1"/>
    <col min="3074" max="3076" width="10.625" style="1" customWidth="1"/>
    <col min="3077" max="3328" width="9" style="1"/>
    <col min="3329" max="3329" width="30.625" style="1" customWidth="1"/>
    <col min="3330" max="3332" width="10.625" style="1" customWidth="1"/>
    <col min="3333" max="3584" width="9" style="1"/>
    <col min="3585" max="3585" width="30.625" style="1" customWidth="1"/>
    <col min="3586" max="3588" width="10.625" style="1" customWidth="1"/>
    <col min="3589" max="3840" width="9" style="1"/>
    <col min="3841" max="3841" width="30.625" style="1" customWidth="1"/>
    <col min="3842" max="3844" width="10.625" style="1" customWidth="1"/>
    <col min="3845" max="4096" width="9" style="1"/>
    <col min="4097" max="4097" width="30.625" style="1" customWidth="1"/>
    <col min="4098" max="4100" width="10.625" style="1" customWidth="1"/>
    <col min="4101" max="4352" width="9" style="1"/>
    <col min="4353" max="4353" width="30.625" style="1" customWidth="1"/>
    <col min="4354" max="4356" width="10.625" style="1" customWidth="1"/>
    <col min="4357" max="4608" width="9" style="1"/>
    <col min="4609" max="4609" width="30.625" style="1" customWidth="1"/>
    <col min="4610" max="4612" width="10.625" style="1" customWidth="1"/>
    <col min="4613" max="4864" width="9" style="1"/>
    <col min="4865" max="4865" width="30.625" style="1" customWidth="1"/>
    <col min="4866" max="4868" width="10.625" style="1" customWidth="1"/>
    <col min="4869" max="5120" width="9" style="1"/>
    <col min="5121" max="5121" width="30.625" style="1" customWidth="1"/>
    <col min="5122" max="5124" width="10.625" style="1" customWidth="1"/>
    <col min="5125" max="5376" width="9" style="1"/>
    <col min="5377" max="5377" width="30.625" style="1" customWidth="1"/>
    <col min="5378" max="5380" width="10.625" style="1" customWidth="1"/>
    <col min="5381" max="5632" width="9" style="1"/>
    <col min="5633" max="5633" width="30.625" style="1" customWidth="1"/>
    <col min="5634" max="5636" width="10.625" style="1" customWidth="1"/>
    <col min="5637" max="5888" width="9" style="1"/>
    <col min="5889" max="5889" width="30.625" style="1" customWidth="1"/>
    <col min="5890" max="5892" width="10.625" style="1" customWidth="1"/>
    <col min="5893" max="6144" width="9" style="1"/>
    <col min="6145" max="6145" width="30.625" style="1" customWidth="1"/>
    <col min="6146" max="6148" width="10.625" style="1" customWidth="1"/>
    <col min="6149" max="6400" width="9" style="1"/>
    <col min="6401" max="6401" width="30.625" style="1" customWidth="1"/>
    <col min="6402" max="6404" width="10.625" style="1" customWidth="1"/>
    <col min="6405" max="6656" width="9" style="1"/>
    <col min="6657" max="6657" width="30.625" style="1" customWidth="1"/>
    <col min="6658" max="6660" width="10.625" style="1" customWidth="1"/>
    <col min="6661" max="6912" width="9" style="1"/>
    <col min="6913" max="6913" width="30.625" style="1" customWidth="1"/>
    <col min="6914" max="6916" width="10.625" style="1" customWidth="1"/>
    <col min="6917" max="7168" width="9" style="1"/>
    <col min="7169" max="7169" width="30.625" style="1" customWidth="1"/>
    <col min="7170" max="7172" width="10.625" style="1" customWidth="1"/>
    <col min="7173" max="7424" width="9" style="1"/>
    <col min="7425" max="7425" width="30.625" style="1" customWidth="1"/>
    <col min="7426" max="7428" width="10.625" style="1" customWidth="1"/>
    <col min="7429" max="7680" width="9" style="1"/>
    <col min="7681" max="7681" width="30.625" style="1" customWidth="1"/>
    <col min="7682" max="7684" width="10.625" style="1" customWidth="1"/>
    <col min="7685" max="7936" width="9" style="1"/>
    <col min="7937" max="7937" width="30.625" style="1" customWidth="1"/>
    <col min="7938" max="7940" width="10.625" style="1" customWidth="1"/>
    <col min="7941" max="8192" width="9" style="1"/>
    <col min="8193" max="8193" width="30.625" style="1" customWidth="1"/>
    <col min="8194" max="8196" width="10.625" style="1" customWidth="1"/>
    <col min="8197" max="8448" width="9" style="1"/>
    <col min="8449" max="8449" width="30.625" style="1" customWidth="1"/>
    <col min="8450" max="8452" width="10.625" style="1" customWidth="1"/>
    <col min="8453" max="8704" width="9" style="1"/>
    <col min="8705" max="8705" width="30.625" style="1" customWidth="1"/>
    <col min="8706" max="8708" width="10.625" style="1" customWidth="1"/>
    <col min="8709" max="8960" width="9" style="1"/>
    <col min="8961" max="8961" width="30.625" style="1" customWidth="1"/>
    <col min="8962" max="8964" width="10.625" style="1" customWidth="1"/>
    <col min="8965" max="9216" width="9" style="1"/>
    <col min="9217" max="9217" width="30.625" style="1" customWidth="1"/>
    <col min="9218" max="9220" width="10.625" style="1" customWidth="1"/>
    <col min="9221" max="9472" width="9" style="1"/>
    <col min="9473" max="9473" width="30.625" style="1" customWidth="1"/>
    <col min="9474" max="9476" width="10.625" style="1" customWidth="1"/>
    <col min="9477" max="9728" width="9" style="1"/>
    <col min="9729" max="9729" width="30.625" style="1" customWidth="1"/>
    <col min="9730" max="9732" width="10.625" style="1" customWidth="1"/>
    <col min="9733" max="9984" width="9" style="1"/>
    <col min="9985" max="9985" width="30.625" style="1" customWidth="1"/>
    <col min="9986" max="9988" width="10.625" style="1" customWidth="1"/>
    <col min="9989" max="10240" width="9" style="1"/>
    <col min="10241" max="10241" width="30.625" style="1" customWidth="1"/>
    <col min="10242" max="10244" width="10.625" style="1" customWidth="1"/>
    <col min="10245" max="10496" width="9" style="1"/>
    <col min="10497" max="10497" width="30.625" style="1" customWidth="1"/>
    <col min="10498" max="10500" width="10.625" style="1" customWidth="1"/>
    <col min="10501" max="10752" width="9" style="1"/>
    <col min="10753" max="10753" width="30.625" style="1" customWidth="1"/>
    <col min="10754" max="10756" width="10.625" style="1" customWidth="1"/>
    <col min="10757" max="11008" width="9" style="1"/>
    <col min="11009" max="11009" width="30.625" style="1" customWidth="1"/>
    <col min="11010" max="11012" width="10.625" style="1" customWidth="1"/>
    <col min="11013" max="11264" width="9" style="1"/>
    <col min="11265" max="11265" width="30.625" style="1" customWidth="1"/>
    <col min="11266" max="11268" width="10.625" style="1" customWidth="1"/>
    <col min="11269" max="11520" width="9" style="1"/>
    <col min="11521" max="11521" width="30.625" style="1" customWidth="1"/>
    <col min="11522" max="11524" width="10.625" style="1" customWidth="1"/>
    <col min="11525" max="11776" width="9" style="1"/>
    <col min="11777" max="11777" width="30.625" style="1" customWidth="1"/>
    <col min="11778" max="11780" width="10.625" style="1" customWidth="1"/>
    <col min="11781" max="12032" width="9" style="1"/>
    <col min="12033" max="12033" width="30.625" style="1" customWidth="1"/>
    <col min="12034" max="12036" width="10.625" style="1" customWidth="1"/>
    <col min="12037" max="12288" width="9" style="1"/>
    <col min="12289" max="12289" width="30.625" style="1" customWidth="1"/>
    <col min="12290" max="12292" width="10.625" style="1" customWidth="1"/>
    <col min="12293" max="12544" width="9" style="1"/>
    <col min="12545" max="12545" width="30.625" style="1" customWidth="1"/>
    <col min="12546" max="12548" width="10.625" style="1" customWidth="1"/>
    <col min="12549" max="12800" width="9" style="1"/>
    <col min="12801" max="12801" width="30.625" style="1" customWidth="1"/>
    <col min="12802" max="12804" width="10.625" style="1" customWidth="1"/>
    <col min="12805" max="13056" width="9" style="1"/>
    <col min="13057" max="13057" width="30.625" style="1" customWidth="1"/>
    <col min="13058" max="13060" width="10.625" style="1" customWidth="1"/>
    <col min="13061" max="13312" width="9" style="1"/>
    <col min="13313" max="13313" width="30.625" style="1" customWidth="1"/>
    <col min="13314" max="13316" width="10.625" style="1" customWidth="1"/>
    <col min="13317" max="13568" width="9" style="1"/>
    <col min="13569" max="13569" width="30.625" style="1" customWidth="1"/>
    <col min="13570" max="13572" width="10.625" style="1" customWidth="1"/>
    <col min="13573" max="13824" width="9" style="1"/>
    <col min="13825" max="13825" width="30.625" style="1" customWidth="1"/>
    <col min="13826" max="13828" width="10.625" style="1" customWidth="1"/>
    <col min="13829" max="14080" width="9" style="1"/>
    <col min="14081" max="14081" width="30.625" style="1" customWidth="1"/>
    <col min="14082" max="14084" width="10.625" style="1" customWidth="1"/>
    <col min="14085" max="14336" width="9" style="1"/>
    <col min="14337" max="14337" width="30.625" style="1" customWidth="1"/>
    <col min="14338" max="14340" width="10.625" style="1" customWidth="1"/>
    <col min="14341" max="14592" width="9" style="1"/>
    <col min="14593" max="14593" width="30.625" style="1" customWidth="1"/>
    <col min="14594" max="14596" width="10.625" style="1" customWidth="1"/>
    <col min="14597" max="14848" width="9" style="1"/>
    <col min="14849" max="14849" width="30.625" style="1" customWidth="1"/>
    <col min="14850" max="14852" width="10.625" style="1" customWidth="1"/>
    <col min="14853" max="15104" width="9" style="1"/>
    <col min="15105" max="15105" width="30.625" style="1" customWidth="1"/>
    <col min="15106" max="15108" width="10.625" style="1" customWidth="1"/>
    <col min="15109" max="15360" width="9" style="1"/>
    <col min="15361" max="15361" width="30.625" style="1" customWidth="1"/>
    <col min="15362" max="15364" width="10.625" style="1" customWidth="1"/>
    <col min="15365" max="15616" width="9" style="1"/>
    <col min="15617" max="15617" width="30.625" style="1" customWidth="1"/>
    <col min="15618" max="15620" width="10.625" style="1" customWidth="1"/>
    <col min="15621" max="15872" width="9" style="1"/>
    <col min="15873" max="15873" width="30.625" style="1" customWidth="1"/>
    <col min="15874" max="15876" width="10.625" style="1" customWidth="1"/>
    <col min="15877" max="16128" width="9" style="1"/>
    <col min="16129" max="16129" width="30.625" style="1" customWidth="1"/>
    <col min="16130" max="16132" width="10.625" style="1" customWidth="1"/>
    <col min="16133" max="16384" width="9" style="1"/>
  </cols>
  <sheetData>
    <row r="1" ht="16.5" customHeight="1" spans="1:4">
      <c r="A1" s="2" t="s">
        <v>65</v>
      </c>
      <c r="D1" s="3"/>
    </row>
    <row r="2" ht="16.5" customHeight="1"/>
    <row r="3" ht="16.5" customHeight="1" spans="1:4">
      <c r="A3" s="4" t="s">
        <v>66</v>
      </c>
      <c r="B3" s="5" t="s">
        <v>67</v>
      </c>
      <c r="C3" s="6"/>
      <c r="D3" s="7"/>
    </row>
    <row r="4" ht="16.5" customHeight="1" spans="1:4">
      <c r="A4" s="8"/>
      <c r="B4" s="9" t="s">
        <v>68</v>
      </c>
      <c r="C4" s="9" t="s">
        <v>69</v>
      </c>
      <c r="D4" s="9" t="s">
        <v>70</v>
      </c>
    </row>
    <row r="5" ht="16.5" customHeight="1" spans="1:4">
      <c r="A5" s="10" t="s">
        <v>71</v>
      </c>
      <c r="B5" s="11" t="s">
        <v>72</v>
      </c>
      <c r="C5" s="11" t="s">
        <v>73</v>
      </c>
      <c r="D5" s="11" t="s">
        <v>74</v>
      </c>
    </row>
    <row r="6" ht="16.5" customHeight="1" spans="1:4">
      <c r="A6" s="12" t="s">
        <v>75</v>
      </c>
      <c r="B6" s="9" t="s">
        <v>76</v>
      </c>
      <c r="C6" s="9" t="s">
        <v>77</v>
      </c>
      <c r="D6" s="9" t="s">
        <v>78</v>
      </c>
    </row>
    <row r="7" ht="16.5" customHeight="1" spans="1:4">
      <c r="A7" s="10" t="s">
        <v>79</v>
      </c>
      <c r="B7" s="11" t="s">
        <v>80</v>
      </c>
      <c r="C7" s="11" t="s">
        <v>81</v>
      </c>
      <c r="D7" s="11" t="s">
        <v>82</v>
      </c>
    </row>
    <row r="8" ht="16.5" customHeight="1" spans="1:4">
      <c r="A8" s="12" t="s">
        <v>83</v>
      </c>
      <c r="B8" s="9" t="s">
        <v>84</v>
      </c>
      <c r="C8" s="9" t="s">
        <v>85</v>
      </c>
      <c r="D8" s="9" t="s">
        <v>86</v>
      </c>
    </row>
    <row r="9" ht="16.5" customHeight="1" spans="1:4">
      <c r="A9" s="10" t="s">
        <v>87</v>
      </c>
      <c r="B9" s="11" t="s">
        <v>88</v>
      </c>
      <c r="C9" s="11" t="s">
        <v>89</v>
      </c>
      <c r="D9" s="11" t="s">
        <v>90</v>
      </c>
    </row>
    <row r="10" ht="16.5" customHeight="1" spans="1:4">
      <c r="A10" s="12" t="s">
        <v>91</v>
      </c>
      <c r="B10" s="9" t="s">
        <v>92</v>
      </c>
      <c r="C10" s="9" t="s">
        <v>93</v>
      </c>
      <c r="D10" s="9" t="s">
        <v>94</v>
      </c>
    </row>
    <row r="11" ht="16.5" customHeight="1" spans="1:4">
      <c r="A11" s="10" t="s">
        <v>95</v>
      </c>
      <c r="B11" s="11" t="s">
        <v>92</v>
      </c>
      <c r="C11" s="11" t="s">
        <v>93</v>
      </c>
      <c r="D11" s="11" t="s">
        <v>94</v>
      </c>
    </row>
    <row r="12" ht="16.5" customHeight="1" spans="1:4">
      <c r="A12" s="12" t="s">
        <v>96</v>
      </c>
      <c r="B12" s="9" t="s">
        <v>92</v>
      </c>
      <c r="C12" s="9" t="s">
        <v>93</v>
      </c>
      <c r="D12" s="9" t="s">
        <v>94</v>
      </c>
    </row>
    <row r="13" ht="16.5" customHeight="1" spans="1:4">
      <c r="A13" s="10" t="s">
        <v>97</v>
      </c>
      <c r="B13" s="13" t="s">
        <v>92</v>
      </c>
      <c r="C13" s="11" t="s">
        <v>93</v>
      </c>
      <c r="D13" s="11" t="s">
        <v>94</v>
      </c>
    </row>
    <row r="14" ht="16.5" customHeight="1" spans="1:4">
      <c r="A14" s="12" t="s">
        <v>98</v>
      </c>
      <c r="B14" s="9" t="s">
        <v>99</v>
      </c>
      <c r="C14" s="9" t="s">
        <v>100</v>
      </c>
      <c r="D14" s="9" t="s">
        <v>101</v>
      </c>
    </row>
    <row r="15" ht="16.5" customHeight="1" spans="1:4">
      <c r="A15" s="10" t="s">
        <v>102</v>
      </c>
      <c r="B15" s="11" t="s">
        <v>103</v>
      </c>
      <c r="C15" s="11" t="s">
        <v>104</v>
      </c>
      <c r="D15" s="11" t="s">
        <v>105</v>
      </c>
    </row>
    <row r="16" ht="16.5" customHeight="1" spans="1:4">
      <c r="A16" s="12" t="s">
        <v>106</v>
      </c>
      <c r="B16" s="9" t="s">
        <v>107</v>
      </c>
      <c r="C16" s="9" t="s">
        <v>108</v>
      </c>
      <c r="D16" s="9" t="s">
        <v>109</v>
      </c>
    </row>
    <row r="17" ht="16.5" customHeight="1" spans="1:4">
      <c r="A17" s="10" t="s">
        <v>110</v>
      </c>
      <c r="B17" s="11" t="s">
        <v>111</v>
      </c>
      <c r="C17" s="11" t="s">
        <v>112</v>
      </c>
      <c r="D17" s="11" t="s">
        <v>113</v>
      </c>
    </row>
    <row r="18" ht="16.5" customHeight="1" spans="1:4">
      <c r="A18" s="12" t="s">
        <v>114</v>
      </c>
      <c r="B18" s="9" t="s">
        <v>115</v>
      </c>
      <c r="C18" s="9" t="s">
        <v>116</v>
      </c>
      <c r="D18" s="9" t="s">
        <v>117</v>
      </c>
    </row>
    <row r="19" ht="16.5" customHeight="1" spans="1:4">
      <c r="A19" s="10" t="s">
        <v>118</v>
      </c>
      <c r="B19" s="11" t="s">
        <v>119</v>
      </c>
      <c r="C19" s="11" t="s">
        <v>120</v>
      </c>
      <c r="D19" s="11" t="s">
        <v>121</v>
      </c>
    </row>
    <row r="20" ht="16.5" customHeight="1" spans="1:4">
      <c r="A20" s="12" t="s">
        <v>122</v>
      </c>
      <c r="B20" s="9" t="s">
        <v>123</v>
      </c>
      <c r="C20" s="9" t="s">
        <v>124</v>
      </c>
      <c r="D20" s="9" t="s">
        <v>125</v>
      </c>
    </row>
    <row r="21" ht="16.5" customHeight="1" spans="1:4">
      <c r="A21" s="10" t="s">
        <v>126</v>
      </c>
      <c r="B21" s="11" t="s">
        <v>127</v>
      </c>
      <c r="C21" s="11" t="s">
        <v>128</v>
      </c>
      <c r="D21" s="11" t="s">
        <v>129</v>
      </c>
    </row>
    <row r="22" ht="16.5" customHeight="1" spans="1:4">
      <c r="A22" s="12" t="s">
        <v>130</v>
      </c>
      <c r="B22" s="9" t="s">
        <v>131</v>
      </c>
      <c r="C22" s="9" t="s">
        <v>132</v>
      </c>
      <c r="D22" s="9" t="s">
        <v>133</v>
      </c>
    </row>
    <row r="23" ht="16.5" customHeight="1" spans="1:4">
      <c r="A23" s="10" t="s">
        <v>134</v>
      </c>
      <c r="B23" s="11" t="s">
        <v>135</v>
      </c>
      <c r="C23" s="11" t="s">
        <v>136</v>
      </c>
      <c r="D23" s="11" t="s">
        <v>137</v>
      </c>
    </row>
    <row r="24" ht="16.5" customHeight="1" spans="1:4">
      <c r="A24" s="12" t="s">
        <v>138</v>
      </c>
      <c r="B24" s="9" t="s">
        <v>139</v>
      </c>
      <c r="C24" s="9" t="s">
        <v>140</v>
      </c>
      <c r="D24" s="9" t="s">
        <v>141</v>
      </c>
    </row>
    <row r="25" ht="16.5" customHeight="1" spans="1:4">
      <c r="A25" s="10" t="s">
        <v>142</v>
      </c>
      <c r="B25" s="11" t="s">
        <v>139</v>
      </c>
      <c r="C25" s="11" t="s">
        <v>140</v>
      </c>
      <c r="D25" s="11" t="s">
        <v>141</v>
      </c>
    </row>
    <row r="26" ht="16.5" customHeight="1" spans="1:4">
      <c r="A26" s="12" t="s">
        <v>143</v>
      </c>
      <c r="B26" s="9" t="s">
        <v>144</v>
      </c>
      <c r="C26" s="9" t="s">
        <v>145</v>
      </c>
      <c r="D26" s="9" t="s">
        <v>146</v>
      </c>
    </row>
    <row r="27" ht="16.5" customHeight="1" spans="1:4">
      <c r="A27" s="10" t="s">
        <v>147</v>
      </c>
      <c r="B27" s="11" t="s">
        <v>148</v>
      </c>
      <c r="C27" s="11" t="s">
        <v>149</v>
      </c>
      <c r="D27" s="11" t="s">
        <v>150</v>
      </c>
    </row>
    <row r="28" ht="16.5" customHeight="1" spans="1:4">
      <c r="A28" s="12" t="s">
        <v>151</v>
      </c>
      <c r="B28" s="9" t="s">
        <v>152</v>
      </c>
      <c r="C28" s="9" t="s">
        <v>153</v>
      </c>
      <c r="D28" s="9" t="s">
        <v>154</v>
      </c>
    </row>
    <row r="29" ht="16.5" customHeight="1" spans="1:4">
      <c r="A29" s="10" t="s">
        <v>155</v>
      </c>
      <c r="B29" s="11" t="s">
        <v>156</v>
      </c>
      <c r="C29" s="11" t="s">
        <v>157</v>
      </c>
      <c r="D29" s="11" t="s">
        <v>158</v>
      </c>
    </row>
    <row r="30" ht="16.5" customHeight="1" spans="1:4">
      <c r="A30" s="12" t="s">
        <v>159</v>
      </c>
      <c r="B30" s="9" t="s">
        <v>156</v>
      </c>
      <c r="C30" s="9" t="s">
        <v>157</v>
      </c>
      <c r="D30" s="9" t="s">
        <v>158</v>
      </c>
    </row>
    <row r="31" ht="16.5" customHeight="1" spans="1:4">
      <c r="A31" s="10" t="s">
        <v>160</v>
      </c>
      <c r="B31" s="11" t="s">
        <v>161</v>
      </c>
      <c r="C31" s="11" t="s">
        <v>162</v>
      </c>
      <c r="D31" s="11" t="s">
        <v>163</v>
      </c>
    </row>
    <row r="32" ht="16.5" customHeight="1" spans="1:4">
      <c r="A32" s="12" t="s">
        <v>164</v>
      </c>
      <c r="B32" s="9" t="s">
        <v>165</v>
      </c>
      <c r="C32" s="9" t="s">
        <v>166</v>
      </c>
      <c r="D32" s="9" t="s">
        <v>167</v>
      </c>
    </row>
    <row r="33" ht="16.5" customHeight="1" spans="1:4">
      <c r="A33" s="10" t="s">
        <v>168</v>
      </c>
      <c r="B33" s="11" t="s">
        <v>169</v>
      </c>
      <c r="C33" s="11" t="s">
        <v>170</v>
      </c>
      <c r="D33" s="11" t="s">
        <v>171</v>
      </c>
    </row>
    <row r="34" ht="15" customHeight="1"/>
    <row r="35" ht="15" customHeight="1"/>
    <row r="36" ht="15" customHeight="1"/>
    <row r="37" ht="15" customHeight="1"/>
  </sheetData>
  <mergeCells count="2">
    <mergeCell ref="B3:D3"/>
    <mergeCell ref="A3:A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（提出必須）口座登録依頼書-新規</vt:lpstr>
      <vt:lpstr>法人略語-一覧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薄荷</cp:lastModifiedBy>
  <dcterms:created xsi:type="dcterms:W3CDTF">2021-05-14T01:23:00Z</dcterms:created>
  <dcterms:modified xsi:type="dcterms:W3CDTF">2024-11-12T06:27:05Z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8AEBB7F053A54B97A9309078A16181FC_13</vt:lpwstr>
  </property>
  <property fmtid="{D5CDD505-2E9C-101B-9397-08002B2CF9AE}" pid="3" name="KSOProductBuildVer">
    <vt:lpwstr>2052-12.1.0.18608</vt:lpwstr>
  </property>
</Properties>
</file>